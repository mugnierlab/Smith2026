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lyn.smith/labNotebook/erin_data/"/>
    </mc:Choice>
  </mc:AlternateContent>
  <xr:revisionPtr revIDLastSave="0" documentId="13_ncr:1_{CB26E176-4A08-4E4C-B759-62C920C09883}" xr6:coauthVersionLast="47" xr6:coauthVersionMax="47" xr10:uidLastSave="{00000000-0000-0000-0000-000000000000}"/>
  <bookViews>
    <workbookView xWindow="15300" yWindow="1260" windowWidth="13420" windowHeight="16740" xr2:uid="{E8E5E997-0F4F-EB42-A0E2-3664173C76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D31" i="1"/>
  <c r="D32" i="1"/>
  <c r="D33" i="1"/>
  <c r="D34" i="1"/>
  <c r="D35" i="1"/>
  <c r="D36" i="1"/>
  <c r="D27" i="1"/>
  <c r="D26" i="1"/>
  <c r="D25" i="1"/>
  <c r="D24" i="1"/>
  <c r="D23" i="1"/>
  <c r="D22" i="1"/>
  <c r="D21" i="1"/>
  <c r="D18" i="1"/>
  <c r="D17" i="1"/>
  <c r="D16" i="1"/>
  <c r="D15" i="1"/>
  <c r="D14" i="1"/>
  <c r="D13" i="1"/>
  <c r="D12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<sst xmlns="http://schemas.openxmlformats.org/spreadsheetml/2006/main" count="72" uniqueCount="13">
  <si>
    <t>D4</t>
  </si>
  <si>
    <t>D6</t>
  </si>
  <si>
    <t>D8</t>
  </si>
  <si>
    <t>D10</t>
  </si>
  <si>
    <t>M2</t>
  </si>
  <si>
    <t>M3</t>
  </si>
  <si>
    <t>D7</t>
  </si>
  <si>
    <t>D11</t>
  </si>
  <si>
    <t>D12</t>
  </si>
  <si>
    <t>D13</t>
  </si>
  <si>
    <t>D14</t>
  </si>
  <si>
    <t>M4</t>
  </si>
  <si>
    <t>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</si>
</sst>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27626-4DFC-8B4D-B11A-DB44B1DF662C}">
  <dimension ref="A1:D36"/>
  <sheetViews>
    <sheetView tabSelected="1" workbookViewId="0">
      <selection activeCell="D1" sqref="D1"/>
    </sheetView>
  </sheetViews>
  <sheetFormatPr baseColWidth="10" defaultRowHeight="16" x14ac:dyDescent="0.2"/>
  <sheetData>
    <row r="1" spans="1:4" x14ac:dyDescent="0.2">
      <c r="A1" t="s">
        <v>0</v>
      </c>
      <c r="B1">
        <v>4</v>
      </c>
      <c r="C1" t="s">
        <v>4</v>
      </c>
      <c r="D1">
        <v>0</v>
      </c>
    </row>
    <row r="2" spans="1:4" x14ac:dyDescent="0.2">
      <c r="A2" t="s">
        <v>1</v>
      </c>
      <c r="B2">
        <v>6</v>
      </c>
      <c r="C2" t="s">
        <v>4</v>
      </c>
      <c r="D2">
        <v>0</v>
      </c>
    </row>
    <row r="3" spans="1:4" x14ac:dyDescent="0.2">
      <c r="A3" t="s">
        <v>6</v>
      </c>
      <c r="B3">
        <v>7</v>
      </c>
      <c r="C3" t="s">
        <v>4</v>
      </c>
      <c r="D3">
        <f>1/3*10000*500/2.5</f>
        <v>666666.66666666663</v>
      </c>
    </row>
    <row r="4" spans="1:4" x14ac:dyDescent="0.2">
      <c r="A4" t="s">
        <v>2</v>
      </c>
      <c r="B4">
        <v>8</v>
      </c>
      <c r="C4" t="s">
        <v>4</v>
      </c>
      <c r="D4">
        <f>2/3*10000*500/2.5</f>
        <v>1333333.3333333333</v>
      </c>
    </row>
    <row r="5" spans="1:4" x14ac:dyDescent="0.2">
      <c r="A5" t="s">
        <v>3</v>
      </c>
      <c r="B5">
        <v>10</v>
      </c>
      <c r="C5" t="s">
        <v>4</v>
      </c>
      <c r="D5">
        <f>AVERAGE(4,7,4)*10000*500/2.5</f>
        <v>10000000</v>
      </c>
    </row>
    <row r="6" spans="1:4" x14ac:dyDescent="0.2">
      <c r="A6" t="s">
        <v>7</v>
      </c>
      <c r="B6">
        <v>11</v>
      </c>
      <c r="C6" t="s">
        <v>4</v>
      </c>
      <c r="D6">
        <f>AVERAGE(8,8,7)*10000*500/2.5</f>
        <v>15333333.333333334</v>
      </c>
    </row>
    <row r="7" spans="1:4" x14ac:dyDescent="0.2">
      <c r="A7" t="s">
        <v>8</v>
      </c>
      <c r="B7">
        <v>12</v>
      </c>
      <c r="C7" t="s">
        <v>4</v>
      </c>
      <c r="D7">
        <f>AVERAGE(7,8,11)*5*10000*500/2.5</f>
        <v>86666666.666666657</v>
      </c>
    </row>
    <row r="8" spans="1:4" x14ac:dyDescent="0.2">
      <c r="A8" t="s">
        <v>9</v>
      </c>
      <c r="B8">
        <v>13</v>
      </c>
      <c r="C8" t="s">
        <v>4</v>
      </c>
      <c r="D8">
        <f>AVERAGE(25,21,23)*5*10000*500/2.5</f>
        <v>230000000</v>
      </c>
    </row>
    <row r="9" spans="1:4" x14ac:dyDescent="0.2">
      <c r="A9" t="s">
        <v>10</v>
      </c>
      <c r="B9">
        <v>14</v>
      </c>
      <c r="C9" t="s">
        <v>4</v>
      </c>
      <c r="D9">
        <f>AVERAGE(25,30,36)*5*10000*500/2.5</f>
        <v>303333333.33333331</v>
      </c>
    </row>
    <row r="10" spans="1:4" x14ac:dyDescent="0.2">
      <c r="A10" t="s">
        <v>0</v>
      </c>
      <c r="B10">
        <v>4</v>
      </c>
      <c r="C10" t="s">
        <v>5</v>
      </c>
      <c r="D10">
        <v>0</v>
      </c>
    </row>
    <row r="11" spans="1:4" x14ac:dyDescent="0.2">
      <c r="A11" t="s">
        <v>1</v>
      </c>
      <c r="B11">
        <v>6</v>
      </c>
      <c r="C11" t="s">
        <v>5</v>
      </c>
      <c r="D11">
        <v>0</v>
      </c>
    </row>
    <row r="12" spans="1:4" x14ac:dyDescent="0.2">
      <c r="A12" t="s">
        <v>6</v>
      </c>
      <c r="B12">
        <v>7</v>
      </c>
      <c r="C12" t="s">
        <v>5</v>
      </c>
      <c r="D12">
        <f>0/3*10000*500/2.5</f>
        <v>0</v>
      </c>
    </row>
    <row r="13" spans="1:4" x14ac:dyDescent="0.2">
      <c r="A13" t="s">
        <v>2</v>
      </c>
      <c r="B13">
        <v>8</v>
      </c>
      <c r="C13" t="s">
        <v>5</v>
      </c>
      <c r="D13">
        <f>AVERAGE(1,0,2)*10000*500/2.5</f>
        <v>2000000</v>
      </c>
    </row>
    <row r="14" spans="1:4" x14ac:dyDescent="0.2">
      <c r="A14" t="s">
        <v>3</v>
      </c>
      <c r="B14">
        <v>10</v>
      </c>
      <c r="C14" t="s">
        <v>5</v>
      </c>
      <c r="D14">
        <f>AVERAGE(4,2,3)*10000*500/2.5</f>
        <v>6000000</v>
      </c>
    </row>
    <row r="15" spans="1:4" x14ac:dyDescent="0.2">
      <c r="A15" t="s">
        <v>7</v>
      </c>
      <c r="B15">
        <v>11</v>
      </c>
      <c r="C15" t="s">
        <v>5</v>
      </c>
      <c r="D15">
        <f>AVERAGE(7,10,5)*10000*500/2.5</f>
        <v>14666666.666666666</v>
      </c>
    </row>
    <row r="16" spans="1:4" x14ac:dyDescent="0.2">
      <c r="A16" t="s">
        <v>8</v>
      </c>
      <c r="B16">
        <v>12</v>
      </c>
      <c r="C16" t="s">
        <v>5</v>
      </c>
      <c r="D16">
        <f>AVERAGE(2,6,5)*5*10000*500/2.5</f>
        <v>43333333.333333328</v>
      </c>
    </row>
    <row r="17" spans="1:4" x14ac:dyDescent="0.2">
      <c r="A17" t="s">
        <v>9</v>
      </c>
      <c r="B17">
        <v>13</v>
      </c>
      <c r="C17" t="s">
        <v>5</v>
      </c>
      <c r="D17">
        <f>AVERAGE(10,15,13)*5*10000*500/2.5</f>
        <v>126666666.66666666</v>
      </c>
    </row>
    <row r="18" spans="1:4" x14ac:dyDescent="0.2">
      <c r="A18" t="s">
        <v>10</v>
      </c>
      <c r="B18">
        <v>14</v>
      </c>
      <c r="C18" t="s">
        <v>5</v>
      </c>
      <c r="D18">
        <f>AVERAGE(9,7,12)*5*10000*500/2.5</f>
        <v>93333333.333333343</v>
      </c>
    </row>
    <row r="19" spans="1:4" x14ac:dyDescent="0.2">
      <c r="A19" t="s">
        <v>0</v>
      </c>
      <c r="B19">
        <v>4</v>
      </c>
      <c r="C19" t="s">
        <v>11</v>
      </c>
      <c r="D19">
        <v>0</v>
      </c>
    </row>
    <row r="20" spans="1:4" x14ac:dyDescent="0.2">
      <c r="A20" t="s">
        <v>1</v>
      </c>
      <c r="B20">
        <v>6</v>
      </c>
      <c r="C20" t="s">
        <v>11</v>
      </c>
      <c r="D20">
        <v>0</v>
      </c>
    </row>
    <row r="21" spans="1:4" x14ac:dyDescent="0.2">
      <c r="A21" t="s">
        <v>6</v>
      </c>
      <c r="B21">
        <v>7</v>
      </c>
      <c r="C21" t="s">
        <v>11</v>
      </c>
      <c r="D21">
        <f>AVERAGE(1,0,0,2)*10000*500/2.5</f>
        <v>1500000</v>
      </c>
    </row>
    <row r="22" spans="1:4" x14ac:dyDescent="0.2">
      <c r="A22" t="s">
        <v>2</v>
      </c>
      <c r="B22">
        <v>8</v>
      </c>
      <c r="C22" t="s">
        <v>11</v>
      </c>
      <c r="D22">
        <f>AVERAGE(0,0,1)*10000*500/2.5</f>
        <v>666666.66666666663</v>
      </c>
    </row>
    <row r="23" spans="1:4" x14ac:dyDescent="0.2">
      <c r="A23" t="s">
        <v>3</v>
      </c>
      <c r="B23">
        <v>10</v>
      </c>
      <c r="C23" t="s">
        <v>11</v>
      </c>
      <c r="D23">
        <f>AVERAGE(9,6,6)*10000*500/2.5</f>
        <v>14000000</v>
      </c>
    </row>
    <row r="24" spans="1:4" x14ac:dyDescent="0.2">
      <c r="A24" t="s">
        <v>7</v>
      </c>
      <c r="B24">
        <v>11</v>
      </c>
      <c r="C24" t="s">
        <v>11</v>
      </c>
      <c r="D24">
        <f>AVERAGE(8,5,9)*10000*500/2.5</f>
        <v>14666666.666666666</v>
      </c>
    </row>
    <row r="25" spans="1:4" x14ac:dyDescent="0.2">
      <c r="A25" t="s">
        <v>8</v>
      </c>
      <c r="B25">
        <v>12</v>
      </c>
      <c r="C25" t="s">
        <v>11</v>
      </c>
      <c r="D25">
        <f>AVERAGE(6,2,6)*5*10000*500/2.5</f>
        <v>46666666.666666672</v>
      </c>
    </row>
    <row r="26" spans="1:4" x14ac:dyDescent="0.2">
      <c r="A26" t="s">
        <v>9</v>
      </c>
      <c r="B26">
        <v>13</v>
      </c>
      <c r="C26" t="s">
        <v>11</v>
      </c>
      <c r="D26">
        <f>AVERAGE(19,14,7)*5*10000*500/2.5</f>
        <v>133333333.33333334</v>
      </c>
    </row>
    <row r="27" spans="1:4" x14ac:dyDescent="0.2">
      <c r="A27" t="s">
        <v>10</v>
      </c>
      <c r="B27">
        <v>14</v>
      </c>
      <c r="C27" t="s">
        <v>11</v>
      </c>
      <c r="D27">
        <f>AVERAGE(23,17,31)*5*10000*500/2.5</f>
        <v>236666666.66666669</v>
      </c>
    </row>
    <row r="28" spans="1:4" x14ac:dyDescent="0.2">
      <c r="A28" t="s">
        <v>0</v>
      </c>
      <c r="B28">
        <v>4</v>
      </c>
      <c r="C28" t="s">
        <v>12</v>
      </c>
      <c r="D28">
        <v>0</v>
      </c>
    </row>
    <row r="29" spans="1:4" x14ac:dyDescent="0.2">
      <c r="A29" t="s">
        <v>1</v>
      </c>
      <c r="B29">
        <v>6</v>
      </c>
      <c r="C29" t="s">
        <v>12</v>
      </c>
      <c r="D29">
        <v>0</v>
      </c>
    </row>
    <row r="30" spans="1:4" x14ac:dyDescent="0.2">
      <c r="A30" t="s">
        <v>6</v>
      </c>
      <c r="B30">
        <v>7</v>
      </c>
      <c r="C30" t="s">
        <v>12</v>
      </c>
      <c r="D30">
        <f>AVERAGE(0)*10000*500/2.5</f>
        <v>0</v>
      </c>
    </row>
    <row r="31" spans="1:4" x14ac:dyDescent="0.2">
      <c r="A31" t="s">
        <v>2</v>
      </c>
      <c r="B31">
        <v>8</v>
      </c>
      <c r="C31" t="s">
        <v>12</v>
      </c>
      <c r="D31">
        <f>AVERAGE(0,0,0)*10000*500/2.5</f>
        <v>0</v>
      </c>
    </row>
    <row r="32" spans="1:4" x14ac:dyDescent="0.2">
      <c r="A32" t="s">
        <v>3</v>
      </c>
      <c r="B32">
        <v>10</v>
      </c>
      <c r="C32" t="s">
        <v>12</v>
      </c>
      <c r="D32">
        <f>AVERAGE(0,2,3)*10000*500/2.5</f>
        <v>3333333.3333333335</v>
      </c>
    </row>
    <row r="33" spans="1:4" x14ac:dyDescent="0.2">
      <c r="A33" t="s">
        <v>7</v>
      </c>
      <c r="B33">
        <v>11</v>
      </c>
      <c r="C33" t="s">
        <v>12</v>
      </c>
      <c r="D33">
        <f>AVERAGE(4,4,3)*10000*500/2.5</f>
        <v>7333333.333333333</v>
      </c>
    </row>
    <row r="34" spans="1:4" x14ac:dyDescent="0.2">
      <c r="A34" t="s">
        <v>8</v>
      </c>
      <c r="B34">
        <v>12</v>
      </c>
      <c r="C34" t="s">
        <v>12</v>
      </c>
      <c r="D34">
        <f>AVERAGE(3,4,5)*5*10000*500/2.5</f>
        <v>40000000</v>
      </c>
    </row>
    <row r="35" spans="1:4" x14ac:dyDescent="0.2">
      <c r="A35" t="s">
        <v>9</v>
      </c>
      <c r="B35">
        <v>13</v>
      </c>
      <c r="C35" t="s">
        <v>12</v>
      </c>
      <c r="D35">
        <f>AVERAGE(14,11,18)*5*10000*500/2.5</f>
        <v>143333333.33333334</v>
      </c>
    </row>
    <row r="36" spans="1:4" x14ac:dyDescent="0.2">
      <c r="A36" t="s">
        <v>10</v>
      </c>
      <c r="B36">
        <v>14</v>
      </c>
      <c r="C36" t="s">
        <v>12</v>
      </c>
      <c r="D36">
        <f>AVERAGE(20,18,21)*5*10000*500/2.5</f>
        <v>196666666.66666669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Jaclyn</dc:creator>
  <cp:lastModifiedBy>Smith, Jaclyn</cp:lastModifiedBy>
  <dcterms:created xsi:type="dcterms:W3CDTF">2025-01-23T16:43:18Z</dcterms:created>
  <dcterms:modified xsi:type="dcterms:W3CDTF">2025-01-24T19:28:15Z</dcterms:modified>
</cp:coreProperties>
</file>