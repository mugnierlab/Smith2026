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lynsmith/labNotebook/monicaMugnierLabNotebook/JAC21-4/"/>
    </mc:Choice>
  </mc:AlternateContent>
  <xr:revisionPtr revIDLastSave="0" documentId="13_ncr:1_{2F01F717-9DFF-0440-A7C2-7D5FA7F34DB2}" xr6:coauthVersionLast="47" xr6:coauthVersionMax="47" xr10:uidLastSave="{00000000-0000-0000-0000-000000000000}"/>
  <bookViews>
    <workbookView xWindow="820" yWindow="720" windowWidth="27240" windowHeight="15980" activeTab="7" xr2:uid="{3BD99DE8-1688-704C-B981-FB4F44FA6134}"/>
  </bookViews>
  <sheets>
    <sheet name="Injection, 2" sheetId="8" r:id="rId1"/>
    <sheet name="Injection" sheetId="1" r:id="rId2"/>
    <sheet name="Parasitemia" sheetId="9" r:id="rId3"/>
    <sheet name="Parasitemia_old" sheetId="2" r:id="rId4"/>
    <sheet name="D6 Blood Collection" sheetId="3" r:id="rId5"/>
    <sheet name="D14 Blood Collection" sheetId="4" r:id="rId6"/>
    <sheet name="Initiating Parasite" sheetId="5" r:id="rId7"/>
    <sheet name="Sample Processing RNA" sheetId="6" r:id="rId8"/>
    <sheet name="Sample Processing DNA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  <c r="O6" i="2"/>
  <c r="O5" i="2"/>
  <c r="O14" i="2"/>
  <c r="O13" i="2"/>
  <c r="J14" i="2" l="1"/>
  <c r="J13" i="2"/>
  <c r="J12" i="2"/>
  <c r="J11" i="2"/>
  <c r="J10" i="2"/>
  <c r="H10" i="2"/>
  <c r="J8" i="2"/>
  <c r="J5" i="2"/>
  <c r="J4" i="2"/>
  <c r="H14" i="2"/>
  <c r="H13" i="2"/>
  <c r="H12" i="2"/>
  <c r="H11" i="2"/>
  <c r="F10" i="2"/>
  <c r="F14" i="2"/>
  <c r="F13" i="2"/>
  <c r="F12" i="2"/>
  <c r="F11" i="2"/>
  <c r="F8" i="2"/>
  <c r="F6" i="2"/>
  <c r="F5" i="2"/>
  <c r="F4" i="2"/>
  <c r="D5" i="2"/>
  <c r="D4" i="2"/>
  <c r="D14" i="2"/>
  <c r="D13" i="2"/>
  <c r="D12" i="2"/>
  <c r="D11" i="2"/>
  <c r="D10" i="2"/>
</calcChain>
</file>

<file path=xl/sharedStrings.xml><?xml version="1.0" encoding="utf-8"?>
<sst xmlns="http://schemas.openxmlformats.org/spreadsheetml/2006/main" count="313" uniqueCount="157">
  <si>
    <t>Date of injection:</t>
  </si>
  <si>
    <t>WT mice</t>
  </si>
  <si>
    <t>1 band</t>
  </si>
  <si>
    <t>2 bands</t>
  </si>
  <si>
    <t>3 bands</t>
  </si>
  <si>
    <t>4 bands</t>
  </si>
  <si>
    <t>0 bands</t>
  </si>
  <si>
    <t>Notes:</t>
  </si>
  <si>
    <t>Parasite count:</t>
  </si>
  <si>
    <t>muMT mice</t>
  </si>
  <si>
    <t>Parasitemia</t>
  </si>
  <si>
    <t>Injection Record</t>
  </si>
  <si>
    <t>WT</t>
  </si>
  <si>
    <t>muMT</t>
  </si>
  <si>
    <t>Day 4</t>
  </si>
  <si>
    <t>Day 6</t>
  </si>
  <si>
    <t>Day 8</t>
  </si>
  <si>
    <t>Day 10</t>
  </si>
  <si>
    <t>Day 12</t>
  </si>
  <si>
    <t>Day 14</t>
  </si>
  <si>
    <t>D6 Blood Collection</t>
  </si>
  <si>
    <t>Method: cheek bleed</t>
  </si>
  <si>
    <t>no RNA tubes</t>
  </si>
  <si>
    <t>no DNA tubes</t>
  </si>
  <si>
    <t>25 uL</t>
  </si>
  <si>
    <t>D14 Blood Collection</t>
  </si>
  <si>
    <t>Method: cardiac puncture</t>
  </si>
  <si>
    <t>volume</t>
  </si>
  <si>
    <t>Initiating Parasite</t>
  </si>
  <si>
    <t>RNA Sample Processing</t>
  </si>
  <si>
    <t>DNA Sample Processing</t>
  </si>
  <si>
    <t>D6</t>
  </si>
  <si>
    <t>D14</t>
  </si>
  <si>
    <t>RNA Extraction</t>
  </si>
  <si>
    <t>DNase Check</t>
  </si>
  <si>
    <t>DNase Treatment</t>
  </si>
  <si>
    <t>dscDNA Prep</t>
  </si>
  <si>
    <t>A Assignment</t>
  </si>
  <si>
    <t>P Assignment</t>
  </si>
  <si>
    <t>Library Prep</t>
  </si>
  <si>
    <t>RNA Conc</t>
  </si>
  <si>
    <t>DF RNA Conc</t>
  </si>
  <si>
    <t>DNA Extraction</t>
  </si>
  <si>
    <t>DNA Conc</t>
  </si>
  <si>
    <t>Antat PCR</t>
  </si>
  <si>
    <t>421 PCR</t>
  </si>
  <si>
    <t>Tubulin PCR</t>
  </si>
  <si>
    <t>random hex cDNA</t>
  </si>
  <si>
    <t xml:space="preserve">D6 RNA </t>
  </si>
  <si>
    <t>2 counts of 5 small boxes:</t>
  </si>
  <si>
    <t xml:space="preserve">avg = 26.5e7; </t>
  </si>
  <si>
    <t>dilute 1:100 (10:990)</t>
  </si>
  <si>
    <t>dilute 1:1000</t>
  </si>
  <si>
    <t>94.3uL into 5mLs</t>
  </si>
  <si>
    <t>avg = 26</t>
  </si>
  <si>
    <t>injected first, within 10 mins after 5 min heating</t>
  </si>
  <si>
    <t>injected second, had more trouble, within 15 mins after heating</t>
  </si>
  <si>
    <t>changed needle after 4th mouse, had to get more innoculum in syringe</t>
  </si>
  <si>
    <t>bit of trouble</t>
  </si>
  <si>
    <t>trouble, changed needle for next mouse</t>
  </si>
  <si>
    <t>trouble, maybe a tad bit subq</t>
  </si>
  <si>
    <t>D13</t>
  </si>
  <si>
    <t>D15</t>
  </si>
  <si>
    <t>D16</t>
  </si>
  <si>
    <t>D17</t>
  </si>
  <si>
    <t>changed needle after first mouse due to trouble + multiple sticks; maybe changed needle again after 3rd mouse</t>
  </si>
  <si>
    <t>dilution is 0, count is *5*10^4</t>
  </si>
  <si>
    <t>D4</t>
  </si>
  <si>
    <t>count</t>
  </si>
  <si>
    <t>130*10^4</t>
  </si>
  <si>
    <t>dilute 1:10 (100:900)</t>
  </si>
  <si>
    <t>add 192uL to 4808 uL HMI-9</t>
  </si>
  <si>
    <t>overall took 20 mins</t>
  </si>
  <si>
    <t xml:space="preserve">overall took 16 mins. </t>
  </si>
  <si>
    <t>start at 10:40</t>
  </si>
  <si>
    <t>end by 11:30</t>
  </si>
  <si>
    <t>wrong but dilutions are what I did.</t>
  </si>
  <si>
    <t>maybe some came out during injection, changed needle after</t>
  </si>
  <si>
    <t xml:space="preserve">maintained same needle. </t>
  </si>
  <si>
    <t>had a bit of trouble</t>
  </si>
  <si>
    <t>next time prep multiple needles worth of HMI-9 to avoid having to prep them. 2/5 mice injecting. Switch either before/after M3</t>
  </si>
  <si>
    <t>bit of trouble maybe a bit extra.</t>
  </si>
  <si>
    <t>2,0,1,0</t>
  </si>
  <si>
    <t>1,0,1,3</t>
  </si>
  <si>
    <t>0,1,1,0</t>
  </si>
  <si>
    <t>0,0,1,0</t>
  </si>
  <si>
    <t>3,0,2,1</t>
  </si>
  <si>
    <t>0,0,0,0</t>
  </si>
  <si>
    <t>nd.</t>
  </si>
  <si>
    <t>collection start at 11:15</t>
  </si>
  <si>
    <t>100 uL</t>
  </si>
  <si>
    <t>1X50</t>
  </si>
  <si>
    <t>1X25</t>
  </si>
  <si>
    <t>2x25</t>
  </si>
  <si>
    <t>catch tubes also</t>
  </si>
  <si>
    <t>monica assist</t>
  </si>
  <si>
    <t>4uL heparin in 4uL in bottom of tube</t>
  </si>
  <si>
    <t>collection start at 9/count 9:20</t>
  </si>
  <si>
    <t>5 small boxes</t>
  </si>
  <si>
    <t>1 big box</t>
  </si>
  <si>
    <t>8,6</t>
  </si>
  <si>
    <t>2,3</t>
  </si>
  <si>
    <t>9,13</t>
  </si>
  <si>
    <t>6,2,9</t>
  </si>
  <si>
    <t>22,23</t>
  </si>
  <si>
    <t>14,20</t>
  </si>
  <si>
    <t>17,16</t>
  </si>
  <si>
    <t>0,0</t>
  </si>
  <si>
    <t>n.d uninfected</t>
  </si>
  <si>
    <t>20,31,31</t>
  </si>
  <si>
    <t>5,5</t>
  </si>
  <si>
    <t>6,3,4</t>
  </si>
  <si>
    <t>10,7,7</t>
  </si>
  <si>
    <t>2,1,4</t>
  </si>
  <si>
    <t>10,6,8,6</t>
  </si>
  <si>
    <t>start at 10:30</t>
  </si>
  <si>
    <t>3,3</t>
  </si>
  <si>
    <t>3,2</t>
  </si>
  <si>
    <t>1,1</t>
  </si>
  <si>
    <t>22,21</t>
  </si>
  <si>
    <t>25,28</t>
  </si>
  <si>
    <t>13,12</t>
  </si>
  <si>
    <t>11,16</t>
  </si>
  <si>
    <t>35,25,22</t>
  </si>
  <si>
    <t>DNA Extraction start</t>
  </si>
  <si>
    <t>3,7</t>
  </si>
  <si>
    <t>9,20,13</t>
  </si>
  <si>
    <t>23,20</t>
  </si>
  <si>
    <t>6,5</t>
  </si>
  <si>
    <t>N/A</t>
  </si>
  <si>
    <t>no detectable parasites</t>
  </si>
  <si>
    <t>Notes</t>
  </si>
  <si>
    <t>uninfected</t>
  </si>
  <si>
    <t>dead</t>
  </si>
  <si>
    <t>slow froze DNA blood sample</t>
  </si>
  <si>
    <t>taken on D12, very sick looking + dehydrated</t>
  </si>
  <si>
    <t>ng/uL</t>
  </si>
  <si>
    <t>multiplier</t>
  </si>
  <si>
    <t>D8</t>
  </si>
  <si>
    <t>NA</t>
  </si>
  <si>
    <t>D10</t>
  </si>
  <si>
    <t>D12</t>
  </si>
  <si>
    <t>1,0</t>
  </si>
  <si>
    <t>18,24</t>
  </si>
  <si>
    <t>35,37</t>
  </si>
  <si>
    <t>8,15</t>
  </si>
  <si>
    <t>0,1</t>
  </si>
  <si>
    <t>21,13</t>
  </si>
  <si>
    <t>3,1</t>
  </si>
  <si>
    <t>2.2,3.4</t>
  </si>
  <si>
    <t>Jaclyn</t>
  </si>
  <si>
    <t>Kevin</t>
  </si>
  <si>
    <t>194*2</t>
  </si>
  <si>
    <t>192*2</t>
  </si>
  <si>
    <t>186*2</t>
  </si>
  <si>
    <t>190*3</t>
  </si>
  <si>
    <t>182*3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</si>
</sst>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65D2-2013-9249-9E9D-250099A89BCE}">
  <dimension ref="A1:I16"/>
  <sheetViews>
    <sheetView workbookViewId="0">
      <selection activeCell="B1" sqref="B1:K4"/>
    </sheetView>
  </sheetViews>
  <sheetFormatPr baseColWidth="10" defaultRowHeight="16" x14ac:dyDescent="0.2"/>
  <cols>
    <col min="1" max="1" width="15.1640625" bestFit="1" customWidth="1"/>
    <col min="2" max="2" width="22.6640625" bestFit="1" customWidth="1"/>
  </cols>
  <sheetData>
    <row r="1" spans="1:9" x14ac:dyDescent="0.2">
      <c r="A1" t="s">
        <v>11</v>
      </c>
      <c r="B1" t="s">
        <v>49</v>
      </c>
      <c r="C1">
        <v>26</v>
      </c>
      <c r="D1">
        <v>26</v>
      </c>
      <c r="E1" t="s">
        <v>68</v>
      </c>
      <c r="F1" t="s">
        <v>69</v>
      </c>
      <c r="G1" t="s">
        <v>70</v>
      </c>
      <c r="H1" t="s">
        <v>51</v>
      </c>
      <c r="I1" t="s">
        <v>71</v>
      </c>
    </row>
    <row r="2" spans="1:9" x14ac:dyDescent="0.2">
      <c r="A2" t="s">
        <v>0</v>
      </c>
      <c r="B2" s="4">
        <v>44407</v>
      </c>
      <c r="E2" t="s">
        <v>66</v>
      </c>
    </row>
    <row r="3" spans="1:9" x14ac:dyDescent="0.2">
      <c r="C3" t="s">
        <v>74</v>
      </c>
      <c r="D3" t="s">
        <v>75</v>
      </c>
    </row>
    <row r="4" spans="1:9" x14ac:dyDescent="0.2">
      <c r="A4" t="s">
        <v>8</v>
      </c>
      <c r="B4" t="s">
        <v>69</v>
      </c>
    </row>
    <row r="5" spans="1:9" x14ac:dyDescent="0.2">
      <c r="D5" t="s">
        <v>7</v>
      </c>
      <c r="E5" t="s">
        <v>72</v>
      </c>
    </row>
    <row r="6" spans="1:9" x14ac:dyDescent="0.2">
      <c r="A6" t="s">
        <v>1</v>
      </c>
      <c r="B6">
        <v>1</v>
      </c>
      <c r="C6" t="s">
        <v>2</v>
      </c>
    </row>
    <row r="7" spans="1:9" x14ac:dyDescent="0.2">
      <c r="B7">
        <v>2</v>
      </c>
      <c r="C7" t="s">
        <v>3</v>
      </c>
    </row>
    <row r="8" spans="1:9" x14ac:dyDescent="0.2">
      <c r="B8">
        <v>3</v>
      </c>
      <c r="C8" t="s">
        <v>4</v>
      </c>
      <c r="D8" t="s">
        <v>77</v>
      </c>
    </row>
    <row r="9" spans="1:9" x14ac:dyDescent="0.2">
      <c r="B9">
        <v>4</v>
      </c>
      <c r="C9" t="s">
        <v>5</v>
      </c>
      <c r="D9" t="s">
        <v>81</v>
      </c>
    </row>
    <row r="10" spans="1:9" x14ac:dyDescent="0.2">
      <c r="B10">
        <v>5</v>
      </c>
      <c r="C10" t="s">
        <v>6</v>
      </c>
    </row>
    <row r="12" spans="1:9" x14ac:dyDescent="0.2">
      <c r="A12" t="s">
        <v>9</v>
      </c>
      <c r="B12">
        <v>1</v>
      </c>
      <c r="C12" t="s">
        <v>2</v>
      </c>
      <c r="E12" t="s">
        <v>73</v>
      </c>
    </row>
    <row r="13" spans="1:9" x14ac:dyDescent="0.2">
      <c r="B13">
        <v>2</v>
      </c>
      <c r="C13" t="s">
        <v>3</v>
      </c>
      <c r="E13" t="s">
        <v>78</v>
      </c>
      <c r="G13" t="s">
        <v>80</v>
      </c>
    </row>
    <row r="14" spans="1:9" x14ac:dyDescent="0.2">
      <c r="B14">
        <v>3</v>
      </c>
      <c r="C14" t="s">
        <v>4</v>
      </c>
    </row>
    <row r="15" spans="1:9" x14ac:dyDescent="0.2">
      <c r="B15">
        <v>4</v>
      </c>
      <c r="C15" t="s">
        <v>5</v>
      </c>
    </row>
    <row r="16" spans="1:9" x14ac:dyDescent="0.2">
      <c r="B16">
        <v>5</v>
      </c>
      <c r="C16" t="s">
        <v>6</v>
      </c>
      <c r="D1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56C4-27E6-BB47-B743-022E9608E7A6}">
  <dimension ref="A1:H16"/>
  <sheetViews>
    <sheetView workbookViewId="0">
      <selection activeCell="D9" sqref="D9"/>
    </sheetView>
  </sheetViews>
  <sheetFormatPr baseColWidth="10" defaultRowHeight="16" x14ac:dyDescent="0.2"/>
  <cols>
    <col min="1" max="1" width="15.1640625" bestFit="1" customWidth="1"/>
    <col min="2" max="2" width="22.6640625" bestFit="1" customWidth="1"/>
  </cols>
  <sheetData>
    <row r="1" spans="1:8" x14ac:dyDescent="0.2">
      <c r="A1" t="s">
        <v>11</v>
      </c>
      <c r="B1" t="s">
        <v>49</v>
      </c>
      <c r="C1">
        <v>24</v>
      </c>
      <c r="D1">
        <v>29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">
      <c r="A2" t="s">
        <v>0</v>
      </c>
      <c r="B2" s="4">
        <v>44400</v>
      </c>
      <c r="E2" t="s">
        <v>76</v>
      </c>
    </row>
    <row r="4" spans="1:8" x14ac:dyDescent="0.2">
      <c r="A4" t="s">
        <v>8</v>
      </c>
      <c r="B4">
        <v>24</v>
      </c>
      <c r="C4">
        <v>29</v>
      </c>
      <c r="D4" t="s">
        <v>54</v>
      </c>
    </row>
    <row r="5" spans="1:8" x14ac:dyDescent="0.2">
      <c r="D5" t="s">
        <v>7</v>
      </c>
    </row>
    <row r="6" spans="1:8" x14ac:dyDescent="0.2">
      <c r="A6" t="s">
        <v>1</v>
      </c>
      <c r="B6">
        <v>1</v>
      </c>
      <c r="C6" t="s">
        <v>2</v>
      </c>
      <c r="D6" t="s">
        <v>59</v>
      </c>
      <c r="E6" t="s">
        <v>56</v>
      </c>
    </row>
    <row r="7" spans="1:8" x14ac:dyDescent="0.2">
      <c r="B7">
        <v>2</v>
      </c>
      <c r="C7" t="s">
        <v>3</v>
      </c>
      <c r="E7" t="s">
        <v>65</v>
      </c>
    </row>
    <row r="8" spans="1:8" x14ac:dyDescent="0.2">
      <c r="B8">
        <v>3</v>
      </c>
      <c r="C8" t="s">
        <v>4</v>
      </c>
      <c r="D8" t="s">
        <v>60</v>
      </c>
    </row>
    <row r="9" spans="1:8" x14ac:dyDescent="0.2">
      <c r="B9">
        <v>4</v>
      </c>
      <c r="C9" t="s">
        <v>5</v>
      </c>
      <c r="D9" t="s">
        <v>60</v>
      </c>
    </row>
    <row r="10" spans="1:8" x14ac:dyDescent="0.2">
      <c r="B10">
        <v>5</v>
      </c>
      <c r="C10" t="s">
        <v>6</v>
      </c>
      <c r="D10" t="s">
        <v>58</v>
      </c>
    </row>
    <row r="12" spans="1:8" x14ac:dyDescent="0.2">
      <c r="A12" t="s">
        <v>9</v>
      </c>
      <c r="B12">
        <v>1</v>
      </c>
      <c r="C12" t="s">
        <v>2</v>
      </c>
      <c r="E12" t="s">
        <v>55</v>
      </c>
    </row>
    <row r="13" spans="1:8" x14ac:dyDescent="0.2">
      <c r="B13">
        <v>2</v>
      </c>
      <c r="C13" t="s">
        <v>3</v>
      </c>
      <c r="E13" t="s">
        <v>57</v>
      </c>
    </row>
    <row r="14" spans="1:8" x14ac:dyDescent="0.2">
      <c r="B14">
        <v>3</v>
      </c>
      <c r="C14" t="s">
        <v>4</v>
      </c>
    </row>
    <row r="15" spans="1:8" x14ac:dyDescent="0.2">
      <c r="B15">
        <v>4</v>
      </c>
      <c r="C15" t="s">
        <v>5</v>
      </c>
    </row>
    <row r="16" spans="1:8" x14ac:dyDescent="0.2">
      <c r="B16">
        <v>5</v>
      </c>
      <c r="C16" t="s">
        <v>6</v>
      </c>
      <c r="D1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51FF-440C-D448-B79B-7B79802CE9E4}">
  <dimension ref="A1:J15"/>
  <sheetViews>
    <sheetView workbookViewId="0">
      <selection activeCell="C8" sqref="C8"/>
    </sheetView>
  </sheetViews>
  <sheetFormatPr baseColWidth="10" defaultRowHeight="16" x14ac:dyDescent="0.2"/>
  <sheetData>
    <row r="1" spans="1:10" x14ac:dyDescent="0.2">
      <c r="A1" t="s">
        <v>10</v>
      </c>
    </row>
    <row r="2" spans="1:10" x14ac:dyDescent="0.2">
      <c r="D2" t="s">
        <v>67</v>
      </c>
      <c r="E2" t="s">
        <v>31</v>
      </c>
      <c r="F2" t="s">
        <v>138</v>
      </c>
      <c r="G2" t="s">
        <v>140</v>
      </c>
      <c r="H2" t="s">
        <v>141</v>
      </c>
      <c r="I2" t="s">
        <v>32</v>
      </c>
      <c r="J2" t="s">
        <v>62</v>
      </c>
    </row>
    <row r="3" spans="1:10" x14ac:dyDescent="0.2">
      <c r="D3" s="4">
        <v>44411</v>
      </c>
      <c r="E3" s="4">
        <v>44413</v>
      </c>
      <c r="F3" s="4">
        <v>44415</v>
      </c>
      <c r="G3" s="4">
        <v>44417</v>
      </c>
      <c r="H3" s="4">
        <v>44419</v>
      </c>
      <c r="I3" s="4">
        <v>44421</v>
      </c>
      <c r="J3" s="4">
        <v>44422</v>
      </c>
    </row>
    <row r="4" spans="1:10" x14ac:dyDescent="0.2">
      <c r="A4" t="s">
        <v>137</v>
      </c>
      <c r="D4">
        <v>1</v>
      </c>
      <c r="E4">
        <v>5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 s="2" t="s">
        <v>12</v>
      </c>
      <c r="B5">
        <v>1</v>
      </c>
      <c r="C5">
        <v>6</v>
      </c>
      <c r="D5" t="s">
        <v>85</v>
      </c>
      <c r="E5" t="s">
        <v>104</v>
      </c>
      <c r="F5" t="s">
        <v>107</v>
      </c>
      <c r="G5" t="s">
        <v>116</v>
      </c>
      <c r="H5" t="s">
        <v>142</v>
      </c>
      <c r="I5" t="s">
        <v>146</v>
      </c>
      <c r="J5" t="s">
        <v>107</v>
      </c>
    </row>
    <row r="6" spans="1:10" x14ac:dyDescent="0.2">
      <c r="A6" s="2"/>
      <c r="B6">
        <v>2</v>
      </c>
      <c r="C6">
        <v>7</v>
      </c>
      <c r="D6" t="s">
        <v>85</v>
      </c>
      <c r="E6" t="s">
        <v>105</v>
      </c>
      <c r="F6" t="s">
        <v>107</v>
      </c>
      <c r="G6" t="s">
        <v>117</v>
      </c>
      <c r="H6" t="s">
        <v>107</v>
      </c>
      <c r="I6" t="s">
        <v>147</v>
      </c>
      <c r="J6" t="s">
        <v>127</v>
      </c>
    </row>
    <row r="7" spans="1:10" x14ac:dyDescent="0.2">
      <c r="A7" s="2"/>
      <c r="B7">
        <v>3</v>
      </c>
      <c r="C7">
        <v>8</v>
      </c>
      <c r="D7" t="s">
        <v>87</v>
      </c>
      <c r="E7" t="s">
        <v>106</v>
      </c>
      <c r="F7" t="s">
        <v>107</v>
      </c>
      <c r="G7" t="s">
        <v>107</v>
      </c>
      <c r="H7" t="s">
        <v>107</v>
      </c>
      <c r="I7" t="s">
        <v>118</v>
      </c>
      <c r="J7" t="s">
        <v>128</v>
      </c>
    </row>
    <row r="8" spans="1:10" x14ac:dyDescent="0.2">
      <c r="A8" s="2"/>
      <c r="B8">
        <v>4</v>
      </c>
      <c r="C8">
        <v>9</v>
      </c>
      <c r="D8" t="s">
        <v>87</v>
      </c>
      <c r="E8" t="s">
        <v>107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</row>
    <row r="9" spans="1:10" x14ac:dyDescent="0.2">
      <c r="A9" s="2"/>
      <c r="B9">
        <v>5</v>
      </c>
      <c r="C9">
        <v>10</v>
      </c>
      <c r="D9" t="s">
        <v>87</v>
      </c>
      <c r="E9" t="s">
        <v>109</v>
      </c>
      <c r="F9" t="s">
        <v>107</v>
      </c>
      <c r="G9" t="s">
        <v>118</v>
      </c>
      <c r="H9" t="s">
        <v>107</v>
      </c>
      <c r="I9" t="s">
        <v>148</v>
      </c>
      <c r="J9" t="s">
        <v>125</v>
      </c>
    </row>
    <row r="10" spans="1:10" x14ac:dyDescent="0.2">
      <c r="A10" t="s">
        <v>137</v>
      </c>
      <c r="D10">
        <v>1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</row>
    <row r="11" spans="1:10" x14ac:dyDescent="0.2">
      <c r="A11" s="2" t="s">
        <v>13</v>
      </c>
      <c r="B11">
        <v>1</v>
      </c>
      <c r="D11" t="s">
        <v>82</v>
      </c>
      <c r="E11" t="s">
        <v>100</v>
      </c>
      <c r="F11" t="s">
        <v>110</v>
      </c>
      <c r="G11" t="s">
        <v>119</v>
      </c>
      <c r="H11" t="s">
        <v>139</v>
      </c>
      <c r="I11" t="s">
        <v>139</v>
      </c>
      <c r="J11" t="s">
        <v>139</v>
      </c>
    </row>
    <row r="12" spans="1:10" x14ac:dyDescent="0.2">
      <c r="A12" s="2"/>
      <c r="B12">
        <v>2</v>
      </c>
      <c r="D12" t="s">
        <v>83</v>
      </c>
      <c r="E12" t="s">
        <v>101</v>
      </c>
      <c r="F12" t="s">
        <v>111</v>
      </c>
      <c r="G12" t="s">
        <v>120</v>
      </c>
      <c r="H12" t="s">
        <v>139</v>
      </c>
      <c r="I12" t="s">
        <v>139</v>
      </c>
      <c r="J12" t="s">
        <v>139</v>
      </c>
    </row>
    <row r="13" spans="1:10" x14ac:dyDescent="0.2">
      <c r="A13" s="2"/>
      <c r="B13">
        <v>3</v>
      </c>
      <c r="D13" t="s">
        <v>84</v>
      </c>
      <c r="E13" t="s">
        <v>102</v>
      </c>
      <c r="F13" t="s">
        <v>112</v>
      </c>
      <c r="G13" t="s">
        <v>121</v>
      </c>
      <c r="H13" t="s">
        <v>139</v>
      </c>
      <c r="I13" t="s">
        <v>139</v>
      </c>
      <c r="J13" t="s">
        <v>139</v>
      </c>
    </row>
    <row r="14" spans="1:10" x14ac:dyDescent="0.2">
      <c r="A14" s="2"/>
      <c r="B14">
        <v>4</v>
      </c>
      <c r="C14">
        <v>4</v>
      </c>
      <c r="D14" t="s">
        <v>85</v>
      </c>
      <c r="E14" t="s">
        <v>101</v>
      </c>
      <c r="F14" t="s">
        <v>113</v>
      </c>
      <c r="G14" t="s">
        <v>122</v>
      </c>
      <c r="H14" t="s">
        <v>143</v>
      </c>
      <c r="I14" t="s">
        <v>149</v>
      </c>
      <c r="J14" t="s">
        <v>125</v>
      </c>
    </row>
    <row r="15" spans="1:10" x14ac:dyDescent="0.2">
      <c r="A15" s="2"/>
      <c r="B15">
        <v>5</v>
      </c>
      <c r="C15">
        <v>5</v>
      </c>
      <c r="D15" t="s">
        <v>86</v>
      </c>
      <c r="E15" t="s">
        <v>103</v>
      </c>
      <c r="F15" t="s">
        <v>114</v>
      </c>
      <c r="G15" t="s">
        <v>123</v>
      </c>
      <c r="H15" t="s">
        <v>144</v>
      </c>
      <c r="I15" t="s">
        <v>145</v>
      </c>
      <c r="J15" t="s">
        <v>126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2AD1-BFF2-6645-8CF7-E2C05511AED7}">
  <dimension ref="A1:R15"/>
  <sheetViews>
    <sheetView workbookViewId="0">
      <selection activeCell="O3" sqref="O3"/>
    </sheetView>
  </sheetViews>
  <sheetFormatPr baseColWidth="10" defaultRowHeight="16" x14ac:dyDescent="0.2"/>
  <sheetData>
    <row r="1" spans="1:18" x14ac:dyDescent="0.2">
      <c r="A1" t="s">
        <v>10</v>
      </c>
    </row>
    <row r="2" spans="1:18" x14ac:dyDescent="0.2">
      <c r="C2" t="s">
        <v>14</v>
      </c>
      <c r="D2" t="s">
        <v>67</v>
      </c>
      <c r="F2" t="s">
        <v>15</v>
      </c>
      <c r="H2" t="s">
        <v>16</v>
      </c>
      <c r="J2" t="s">
        <v>17</v>
      </c>
      <c r="L2" t="s">
        <v>18</v>
      </c>
      <c r="M2" t="s">
        <v>61</v>
      </c>
      <c r="N2" t="s">
        <v>19</v>
      </c>
      <c r="O2" t="s">
        <v>62</v>
      </c>
      <c r="P2" t="s">
        <v>62</v>
      </c>
      <c r="Q2" t="s">
        <v>63</v>
      </c>
      <c r="R2" t="s">
        <v>64</v>
      </c>
    </row>
    <row r="3" spans="1:18" x14ac:dyDescent="0.2">
      <c r="C3" s="4">
        <v>44404</v>
      </c>
      <c r="D3" s="4">
        <v>44411</v>
      </c>
      <c r="E3" t="s">
        <v>99</v>
      </c>
      <c r="F3" s="4">
        <v>44413</v>
      </c>
      <c r="G3" t="s">
        <v>98</v>
      </c>
      <c r="H3" s="4">
        <v>44415</v>
      </c>
      <c r="I3" t="s">
        <v>99</v>
      </c>
      <c r="J3" s="4">
        <v>44417</v>
      </c>
      <c r="K3" t="s">
        <v>99</v>
      </c>
      <c r="O3" s="4">
        <v>44422</v>
      </c>
    </row>
    <row r="4" spans="1:18" x14ac:dyDescent="0.2">
      <c r="A4" s="2" t="s">
        <v>12</v>
      </c>
      <c r="B4">
        <v>1</v>
      </c>
      <c r="C4">
        <v>0</v>
      </c>
      <c r="D4">
        <f>0.25*200*10^4</f>
        <v>500000</v>
      </c>
      <c r="E4" t="s">
        <v>85</v>
      </c>
      <c r="F4">
        <f>(22+23)/2*5*200*10^4</f>
        <v>225000000</v>
      </c>
      <c r="G4" t="s">
        <v>104</v>
      </c>
      <c r="H4" t="s">
        <v>88</v>
      </c>
      <c r="I4" t="s">
        <v>107</v>
      </c>
      <c r="J4">
        <f>(3+3)/2*200*10^4</f>
        <v>6000000</v>
      </c>
      <c r="K4" t="s">
        <v>116</v>
      </c>
      <c r="O4" t="s">
        <v>88</v>
      </c>
      <c r="P4" t="s">
        <v>107</v>
      </c>
    </row>
    <row r="5" spans="1:18" x14ac:dyDescent="0.2">
      <c r="A5" s="2"/>
      <c r="B5">
        <v>2</v>
      </c>
      <c r="C5">
        <v>0</v>
      </c>
      <c r="D5">
        <f>0.25*200*10^4</f>
        <v>500000</v>
      </c>
      <c r="E5" t="s">
        <v>85</v>
      </c>
      <c r="F5">
        <f>(14+20)/2*5*200*10^4</f>
        <v>170000000</v>
      </c>
      <c r="G5" t="s">
        <v>105</v>
      </c>
      <c r="H5" t="s">
        <v>88</v>
      </c>
      <c r="I5" t="s">
        <v>107</v>
      </c>
      <c r="J5">
        <f>(3+2)/2*200*10^4</f>
        <v>5000000</v>
      </c>
      <c r="K5" t="s">
        <v>117</v>
      </c>
      <c r="O5">
        <f>(23+20)/2*200*10^4</f>
        <v>43000000</v>
      </c>
      <c r="P5" t="s">
        <v>127</v>
      </c>
    </row>
    <row r="6" spans="1:18" x14ac:dyDescent="0.2">
      <c r="A6" s="2"/>
      <c r="B6">
        <v>3</v>
      </c>
      <c r="C6">
        <v>0</v>
      </c>
      <c r="D6" t="s">
        <v>88</v>
      </c>
      <c r="E6" t="s">
        <v>87</v>
      </c>
      <c r="F6">
        <f>(17+16)/2*5*200*10^4</f>
        <v>165000000</v>
      </c>
      <c r="G6" t="s">
        <v>106</v>
      </c>
      <c r="H6" t="s">
        <v>88</v>
      </c>
      <c r="I6" t="s">
        <v>107</v>
      </c>
      <c r="J6" t="s">
        <v>88</v>
      </c>
      <c r="K6" t="s">
        <v>107</v>
      </c>
      <c r="O6">
        <f>(6+5)/2*200*10^4</f>
        <v>11000000</v>
      </c>
      <c r="P6" t="s">
        <v>128</v>
      </c>
    </row>
    <row r="7" spans="1:18" x14ac:dyDescent="0.2">
      <c r="A7" s="2"/>
      <c r="B7">
        <v>4</v>
      </c>
      <c r="C7">
        <v>0</v>
      </c>
      <c r="D7" t="s">
        <v>88</v>
      </c>
      <c r="E7" t="s">
        <v>87</v>
      </c>
      <c r="F7" t="s">
        <v>108</v>
      </c>
      <c r="G7" t="s">
        <v>107</v>
      </c>
      <c r="P7" t="s">
        <v>129</v>
      </c>
    </row>
    <row r="8" spans="1:18" x14ac:dyDescent="0.2">
      <c r="A8" s="2"/>
      <c r="B8">
        <v>5</v>
      </c>
      <c r="C8">
        <v>0</v>
      </c>
      <c r="D8" t="s">
        <v>88</v>
      </c>
      <c r="E8" t="s">
        <v>87</v>
      </c>
      <c r="F8">
        <f>(20+31+31)/3*5*200*10^4</f>
        <v>273333333.33333331</v>
      </c>
      <c r="G8" t="s">
        <v>109</v>
      </c>
      <c r="H8" t="s">
        <v>88</v>
      </c>
      <c r="I8" t="s">
        <v>107</v>
      </c>
      <c r="J8">
        <f>(1+1)/2*200*10^4</f>
        <v>2000000</v>
      </c>
      <c r="K8" t="s">
        <v>118</v>
      </c>
      <c r="O8">
        <f>(3+7)/2*200*10^4</f>
        <v>10000000</v>
      </c>
      <c r="P8" t="s">
        <v>125</v>
      </c>
    </row>
    <row r="9" spans="1:18" x14ac:dyDescent="0.2">
      <c r="I9" t="s">
        <v>98</v>
      </c>
      <c r="K9" t="s">
        <v>98</v>
      </c>
    </row>
    <row r="10" spans="1:18" x14ac:dyDescent="0.2">
      <c r="A10" s="2" t="s">
        <v>13</v>
      </c>
      <c r="B10">
        <v>1</v>
      </c>
      <c r="C10">
        <v>0</v>
      </c>
      <c r="D10">
        <f>0.75*200*10^4</f>
        <v>1500000</v>
      </c>
      <c r="E10" t="s">
        <v>82</v>
      </c>
      <c r="F10">
        <f>(8+6)/2*200*5*10^4</f>
        <v>70000000</v>
      </c>
      <c r="G10" t="s">
        <v>100</v>
      </c>
      <c r="H10">
        <f>(5+5)/2*200*5*10^4</f>
        <v>50000000</v>
      </c>
      <c r="I10" t="s">
        <v>110</v>
      </c>
      <c r="J10">
        <f>(22+21)/2*200*5*10^4</f>
        <v>215000000</v>
      </c>
      <c r="K10" t="s">
        <v>119</v>
      </c>
      <c r="O10" t="s">
        <v>129</v>
      </c>
    </row>
    <row r="11" spans="1:18" x14ac:dyDescent="0.2">
      <c r="A11" s="2"/>
      <c r="B11">
        <v>2</v>
      </c>
      <c r="C11">
        <v>0</v>
      </c>
      <c r="D11">
        <f>1.25*200*10^4</f>
        <v>2500000</v>
      </c>
      <c r="E11" t="s">
        <v>83</v>
      </c>
      <c r="F11">
        <f>(2+3)/2*5*200*10^4</f>
        <v>25000000</v>
      </c>
      <c r="G11" t="s">
        <v>101</v>
      </c>
      <c r="H11">
        <f>(6+3+4)/3*200*5*10^4</f>
        <v>43333333.333333328</v>
      </c>
      <c r="I11" t="s">
        <v>111</v>
      </c>
      <c r="J11">
        <f>(25+28)/2*200*5*10^4</f>
        <v>265000000</v>
      </c>
      <c r="K11" t="s">
        <v>120</v>
      </c>
      <c r="O11" t="s">
        <v>129</v>
      </c>
    </row>
    <row r="12" spans="1:18" x14ac:dyDescent="0.2">
      <c r="A12" s="2"/>
      <c r="B12">
        <v>3</v>
      </c>
      <c r="C12">
        <v>0</v>
      </c>
      <c r="D12">
        <f>0.5*200*10^4</f>
        <v>1000000</v>
      </c>
      <c r="E12" t="s">
        <v>84</v>
      </c>
      <c r="F12">
        <f>(9+13)/2*5*200*10^4</f>
        <v>110000000</v>
      </c>
      <c r="G12" t="s">
        <v>102</v>
      </c>
      <c r="H12">
        <f>(10+7+7)/3*200*5*10^4</f>
        <v>80000000</v>
      </c>
      <c r="I12" t="s">
        <v>112</v>
      </c>
      <c r="J12">
        <f>(13+12)/2*200*5*10^4</f>
        <v>125000000</v>
      </c>
      <c r="K12" t="s">
        <v>121</v>
      </c>
      <c r="O12" t="s">
        <v>129</v>
      </c>
    </row>
    <row r="13" spans="1:18" x14ac:dyDescent="0.2">
      <c r="A13" s="2"/>
      <c r="B13">
        <v>4</v>
      </c>
      <c r="C13">
        <v>0</v>
      </c>
      <c r="D13">
        <f>0.25*200*10^4</f>
        <v>500000</v>
      </c>
      <c r="E13" t="s">
        <v>85</v>
      </c>
      <c r="F13">
        <f>(2+3)/2*5*200*10^4</f>
        <v>25000000</v>
      </c>
      <c r="G13" t="s">
        <v>101</v>
      </c>
      <c r="H13">
        <f>(2+1+4)/3*200*5*10^4</f>
        <v>23333333.333333336</v>
      </c>
      <c r="I13" t="s">
        <v>113</v>
      </c>
      <c r="J13">
        <f>(11+16)/2*200*5*10^4</f>
        <v>135000000</v>
      </c>
      <c r="K13" t="s">
        <v>122</v>
      </c>
      <c r="O13">
        <f>(3+7)/2*5*200*10^4</f>
        <v>50000000</v>
      </c>
      <c r="P13" t="s">
        <v>125</v>
      </c>
    </row>
    <row r="14" spans="1:18" x14ac:dyDescent="0.2">
      <c r="A14" s="2"/>
      <c r="B14">
        <v>5</v>
      </c>
      <c r="C14">
        <v>0</v>
      </c>
      <c r="D14">
        <f>1.5*200*10^4</f>
        <v>3000000</v>
      </c>
      <c r="E14" t="s">
        <v>86</v>
      </c>
      <c r="F14">
        <f>(6+2+9)/3*5*200*10^4</f>
        <v>56666666.666666672</v>
      </c>
      <c r="G14" t="s">
        <v>103</v>
      </c>
      <c r="H14">
        <f>(10+6+8+6)/4*200*5*10^4</f>
        <v>75000000</v>
      </c>
      <c r="I14" t="s">
        <v>114</v>
      </c>
      <c r="J14">
        <f>(35+25+22)/3*200*5*10^4</f>
        <v>273333333.33333331</v>
      </c>
      <c r="K14" t="s">
        <v>123</v>
      </c>
      <c r="O14">
        <f>(9+20+13)/3*5*200*10^4</f>
        <v>140000000</v>
      </c>
      <c r="P14" t="s">
        <v>126</v>
      </c>
    </row>
    <row r="15" spans="1:18" x14ac:dyDescent="0.2">
      <c r="D15" t="s">
        <v>89</v>
      </c>
      <c r="F15" t="s">
        <v>97</v>
      </c>
      <c r="H15" t="s">
        <v>115</v>
      </c>
      <c r="J15" t="s">
        <v>115</v>
      </c>
    </row>
  </sheetData>
  <mergeCells count="2">
    <mergeCell ref="A4:A8"/>
    <mergeCell ref="A10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CE32-867C-C944-B8FC-64D25827B3D6}">
  <dimension ref="A1:F15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A1" t="s">
        <v>20</v>
      </c>
      <c r="C1" s="4">
        <v>44413</v>
      </c>
      <c r="D1" t="s">
        <v>95</v>
      </c>
      <c r="F1" t="s">
        <v>96</v>
      </c>
    </row>
    <row r="2" spans="1:6" x14ac:dyDescent="0.2">
      <c r="A2" t="s">
        <v>21</v>
      </c>
    </row>
    <row r="3" spans="1:6" x14ac:dyDescent="0.2">
      <c r="D3" t="s">
        <v>24</v>
      </c>
      <c r="E3" t="s">
        <v>90</v>
      </c>
      <c r="F3" t="s">
        <v>94</v>
      </c>
    </row>
    <row r="4" spans="1:6" x14ac:dyDescent="0.2">
      <c r="D4" t="s">
        <v>22</v>
      </c>
      <c r="E4" t="s">
        <v>23</v>
      </c>
    </row>
    <row r="5" spans="1:6" x14ac:dyDescent="0.2">
      <c r="A5" s="2" t="s">
        <v>12</v>
      </c>
      <c r="B5">
        <v>1</v>
      </c>
      <c r="C5">
        <v>6</v>
      </c>
      <c r="D5" t="s">
        <v>93</v>
      </c>
      <c r="E5">
        <v>100</v>
      </c>
    </row>
    <row r="6" spans="1:6" x14ac:dyDescent="0.2">
      <c r="A6" s="2"/>
      <c r="B6">
        <v>2</v>
      </c>
      <c r="C6">
        <v>7</v>
      </c>
      <c r="D6" t="s">
        <v>93</v>
      </c>
      <c r="E6">
        <v>100</v>
      </c>
    </row>
    <row r="7" spans="1:6" x14ac:dyDescent="0.2">
      <c r="A7" s="2"/>
      <c r="B7">
        <v>3</v>
      </c>
      <c r="C7">
        <v>8</v>
      </c>
      <c r="D7" t="s">
        <v>93</v>
      </c>
      <c r="E7">
        <v>100</v>
      </c>
    </row>
    <row r="8" spans="1:6" x14ac:dyDescent="0.2">
      <c r="A8" s="2"/>
      <c r="B8">
        <v>4</v>
      </c>
    </row>
    <row r="9" spans="1:6" x14ac:dyDescent="0.2">
      <c r="A9" s="2"/>
      <c r="B9">
        <v>5</v>
      </c>
      <c r="C9">
        <v>10</v>
      </c>
      <c r="D9" t="s">
        <v>93</v>
      </c>
      <c r="E9">
        <v>100</v>
      </c>
    </row>
    <row r="11" spans="1:6" x14ac:dyDescent="0.2">
      <c r="A11" s="2" t="s">
        <v>13</v>
      </c>
      <c r="B11">
        <v>1</v>
      </c>
      <c r="C11">
        <v>1</v>
      </c>
      <c r="D11" t="s">
        <v>91</v>
      </c>
      <c r="E11">
        <v>100</v>
      </c>
    </row>
    <row r="12" spans="1:6" x14ac:dyDescent="0.2">
      <c r="A12" s="2"/>
      <c r="B12">
        <v>2</v>
      </c>
      <c r="C12">
        <v>2</v>
      </c>
      <c r="D12" t="s">
        <v>92</v>
      </c>
      <c r="E12">
        <v>100</v>
      </c>
    </row>
    <row r="13" spans="1:6" x14ac:dyDescent="0.2">
      <c r="A13" s="2"/>
      <c r="B13">
        <v>3</v>
      </c>
      <c r="C13">
        <v>3</v>
      </c>
      <c r="D13" t="s">
        <v>93</v>
      </c>
      <c r="E13">
        <v>100</v>
      </c>
    </row>
    <row r="14" spans="1:6" x14ac:dyDescent="0.2">
      <c r="A14" s="2"/>
      <c r="B14">
        <v>4</v>
      </c>
      <c r="C14">
        <v>4</v>
      </c>
      <c r="D14" t="s">
        <v>93</v>
      </c>
      <c r="E14">
        <v>100</v>
      </c>
    </row>
    <row r="15" spans="1:6" x14ac:dyDescent="0.2">
      <c r="A15" s="2"/>
      <c r="B15">
        <v>5</v>
      </c>
      <c r="C15">
        <v>5</v>
      </c>
      <c r="D15" t="s">
        <v>93</v>
      </c>
      <c r="E15">
        <v>100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74DC-251A-5C48-B2B2-3A1451341FCB}">
  <dimension ref="A1:G15"/>
  <sheetViews>
    <sheetView workbookViewId="0">
      <selection activeCell="C15" sqref="C15"/>
    </sheetView>
  </sheetViews>
  <sheetFormatPr baseColWidth="10" defaultRowHeight="16" x14ac:dyDescent="0.2"/>
  <sheetData>
    <row r="1" spans="1:7" x14ac:dyDescent="0.2">
      <c r="A1" t="s">
        <v>25</v>
      </c>
    </row>
    <row r="2" spans="1:7" x14ac:dyDescent="0.2">
      <c r="A2" t="s">
        <v>26</v>
      </c>
    </row>
    <row r="4" spans="1:7" x14ac:dyDescent="0.2">
      <c r="C4" t="s">
        <v>131</v>
      </c>
      <c r="D4" t="s">
        <v>22</v>
      </c>
      <c r="E4" t="s">
        <v>23</v>
      </c>
      <c r="F4" t="s">
        <v>27</v>
      </c>
    </row>
    <row r="5" spans="1:7" x14ac:dyDescent="0.2">
      <c r="A5" s="2" t="s">
        <v>12</v>
      </c>
      <c r="B5">
        <v>1</v>
      </c>
      <c r="C5" t="s">
        <v>130</v>
      </c>
    </row>
    <row r="6" spans="1:7" x14ac:dyDescent="0.2">
      <c r="A6" s="2"/>
      <c r="B6">
        <v>2</v>
      </c>
    </row>
    <row r="7" spans="1:7" x14ac:dyDescent="0.2">
      <c r="A7" s="2"/>
      <c r="B7">
        <v>3</v>
      </c>
    </row>
    <row r="8" spans="1:7" x14ac:dyDescent="0.2">
      <c r="A8" s="2"/>
      <c r="B8">
        <v>4</v>
      </c>
      <c r="C8" t="s">
        <v>132</v>
      </c>
    </row>
    <row r="9" spans="1:7" x14ac:dyDescent="0.2">
      <c r="A9" s="2"/>
      <c r="B9">
        <v>5</v>
      </c>
    </row>
    <row r="11" spans="1:7" x14ac:dyDescent="0.2">
      <c r="A11" s="2" t="s">
        <v>13</v>
      </c>
      <c r="B11">
        <v>1</v>
      </c>
      <c r="C11" t="s">
        <v>133</v>
      </c>
    </row>
    <row r="12" spans="1:7" x14ac:dyDescent="0.2">
      <c r="A12" s="2"/>
      <c r="B12">
        <v>2</v>
      </c>
      <c r="C12" t="s">
        <v>133</v>
      </c>
    </row>
    <row r="13" spans="1:7" x14ac:dyDescent="0.2">
      <c r="A13" s="2"/>
      <c r="B13">
        <v>3</v>
      </c>
      <c r="C13" t="s">
        <v>135</v>
      </c>
      <c r="G13" t="s">
        <v>134</v>
      </c>
    </row>
    <row r="14" spans="1:7" x14ac:dyDescent="0.2">
      <c r="A14" s="2"/>
      <c r="B14">
        <v>4</v>
      </c>
    </row>
    <row r="15" spans="1:7" x14ac:dyDescent="0.2">
      <c r="A15" s="2"/>
      <c r="B15">
        <v>5</v>
      </c>
    </row>
  </sheetData>
  <mergeCells count="2">
    <mergeCell ref="A5:A9"/>
    <mergeCell ref="A11:A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97B6-6BB9-0D49-B71A-0DB427EB2860}">
  <dimension ref="A1:F16"/>
  <sheetViews>
    <sheetView workbookViewId="0">
      <selection activeCell="E6" sqref="E6"/>
    </sheetView>
  </sheetViews>
  <sheetFormatPr baseColWidth="10" defaultRowHeight="16" x14ac:dyDescent="0.2"/>
  <cols>
    <col min="3" max="3" width="15.83203125" bestFit="1" customWidth="1"/>
  </cols>
  <sheetData>
    <row r="1" spans="1:6" x14ac:dyDescent="0.2">
      <c r="A1" t="s">
        <v>28</v>
      </c>
    </row>
    <row r="2" spans="1:6" x14ac:dyDescent="0.2">
      <c r="A2" t="s">
        <v>48</v>
      </c>
    </row>
    <row r="5" spans="1:6" x14ac:dyDescent="0.2">
      <c r="C5" t="s">
        <v>47</v>
      </c>
      <c r="D5" t="s">
        <v>44</v>
      </c>
      <c r="E5" t="s">
        <v>45</v>
      </c>
      <c r="F5" t="s">
        <v>46</v>
      </c>
    </row>
    <row r="6" spans="1:6" x14ac:dyDescent="0.2">
      <c r="A6" s="2" t="s">
        <v>12</v>
      </c>
      <c r="B6">
        <v>1</v>
      </c>
    </row>
    <row r="7" spans="1:6" x14ac:dyDescent="0.2">
      <c r="A7" s="2"/>
      <c r="B7">
        <v>2</v>
      </c>
    </row>
    <row r="8" spans="1:6" x14ac:dyDescent="0.2">
      <c r="A8" s="2"/>
      <c r="B8">
        <v>3</v>
      </c>
    </row>
    <row r="9" spans="1:6" x14ac:dyDescent="0.2">
      <c r="A9" s="2"/>
      <c r="B9">
        <v>4</v>
      </c>
    </row>
    <row r="10" spans="1:6" x14ac:dyDescent="0.2">
      <c r="A10" s="2"/>
      <c r="B10">
        <v>5</v>
      </c>
    </row>
    <row r="12" spans="1:6" x14ac:dyDescent="0.2">
      <c r="A12" s="2" t="s">
        <v>13</v>
      </c>
      <c r="B12">
        <v>1</v>
      </c>
    </row>
    <row r="13" spans="1:6" x14ac:dyDescent="0.2">
      <c r="A13" s="2"/>
      <c r="B13">
        <v>2</v>
      </c>
    </row>
    <row r="14" spans="1:6" x14ac:dyDescent="0.2">
      <c r="A14" s="2"/>
      <c r="B14">
        <v>3</v>
      </c>
    </row>
    <row r="15" spans="1:6" x14ac:dyDescent="0.2">
      <c r="A15" s="2"/>
      <c r="B15">
        <v>4</v>
      </c>
    </row>
    <row r="16" spans="1:6" x14ac:dyDescent="0.2">
      <c r="A16" s="2"/>
      <c r="B16">
        <v>5</v>
      </c>
    </row>
  </sheetData>
  <mergeCells count="2">
    <mergeCell ref="A6:A10"/>
    <mergeCell ref="A12:A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6682-1125-3848-9CE9-A53FD2FB6D28}">
  <dimension ref="A1:N27"/>
  <sheetViews>
    <sheetView tabSelected="1" workbookViewId="0">
      <selection activeCell="G27" sqref="G27"/>
    </sheetView>
  </sheetViews>
  <sheetFormatPr baseColWidth="10" defaultRowHeight="16" x14ac:dyDescent="0.2"/>
  <cols>
    <col min="5" max="5" width="13.5" bestFit="1" customWidth="1"/>
    <col min="6" max="6" width="13.5" customWidth="1"/>
    <col min="7" max="7" width="9.1640625" bestFit="1" customWidth="1"/>
    <col min="8" max="8" width="15.6640625" bestFit="1" customWidth="1"/>
    <col min="9" max="9" width="11.6640625" bestFit="1" customWidth="1"/>
    <col min="10" max="10" width="11.6640625" customWidth="1"/>
    <col min="11" max="11" width="12.5" bestFit="1" customWidth="1"/>
    <col min="12" max="12" width="12.33203125" bestFit="1" customWidth="1"/>
    <col min="13" max="13" width="11.6640625" bestFit="1" customWidth="1"/>
  </cols>
  <sheetData>
    <row r="1" spans="1:14" x14ac:dyDescent="0.2">
      <c r="A1" t="s">
        <v>29</v>
      </c>
    </row>
    <row r="4" spans="1:14" x14ac:dyDescent="0.2">
      <c r="E4" t="s">
        <v>33</v>
      </c>
      <c r="G4" t="s">
        <v>40</v>
      </c>
      <c r="H4" t="s">
        <v>35</v>
      </c>
      <c r="I4" t="s">
        <v>34</v>
      </c>
      <c r="J4" t="s">
        <v>41</v>
      </c>
      <c r="K4" t="s">
        <v>37</v>
      </c>
      <c r="L4" t="s">
        <v>38</v>
      </c>
      <c r="M4" t="s">
        <v>36</v>
      </c>
      <c r="N4" t="s">
        <v>39</v>
      </c>
    </row>
    <row r="5" spans="1:14" x14ac:dyDescent="0.2">
      <c r="A5" s="2" t="s">
        <v>31</v>
      </c>
      <c r="B5" s="2" t="s">
        <v>12</v>
      </c>
      <c r="C5">
        <v>1</v>
      </c>
    </row>
    <row r="6" spans="1:14" x14ac:dyDescent="0.2">
      <c r="A6" s="2"/>
      <c r="B6" s="2"/>
      <c r="C6">
        <v>2</v>
      </c>
    </row>
    <row r="7" spans="1:14" x14ac:dyDescent="0.2">
      <c r="A7" s="2"/>
      <c r="B7" s="2"/>
      <c r="C7">
        <v>3</v>
      </c>
    </row>
    <row r="8" spans="1:14" x14ac:dyDescent="0.2">
      <c r="A8" s="2"/>
      <c r="B8" s="2"/>
      <c r="C8">
        <v>4</v>
      </c>
    </row>
    <row r="9" spans="1:14" x14ac:dyDescent="0.2">
      <c r="A9" s="2"/>
      <c r="B9" s="2"/>
      <c r="C9">
        <v>5</v>
      </c>
    </row>
    <row r="10" spans="1:14" x14ac:dyDescent="0.2">
      <c r="A10" s="2"/>
    </row>
    <row r="11" spans="1:14" x14ac:dyDescent="0.2">
      <c r="A11" s="2"/>
      <c r="B11" s="2" t="s">
        <v>13</v>
      </c>
      <c r="C11">
        <v>1</v>
      </c>
    </row>
    <row r="12" spans="1:14" x14ac:dyDescent="0.2">
      <c r="A12" s="2"/>
      <c r="B12" s="2"/>
      <c r="C12">
        <v>2</v>
      </c>
    </row>
    <row r="13" spans="1:14" x14ac:dyDescent="0.2">
      <c r="A13" s="2"/>
      <c r="B13" s="2"/>
      <c r="C13">
        <v>3</v>
      </c>
    </row>
    <row r="14" spans="1:14" x14ac:dyDescent="0.2">
      <c r="A14" s="2"/>
      <c r="B14" s="2"/>
      <c r="C14">
        <v>4</v>
      </c>
    </row>
    <row r="15" spans="1:14" x14ac:dyDescent="0.2">
      <c r="A15" s="2"/>
      <c r="B15" s="2"/>
      <c r="C15">
        <v>5</v>
      </c>
    </row>
    <row r="17" spans="1:7" x14ac:dyDescent="0.2">
      <c r="A17" s="2" t="s">
        <v>32</v>
      </c>
      <c r="B17" s="3" t="s">
        <v>12</v>
      </c>
      <c r="C17" s="1">
        <v>1</v>
      </c>
      <c r="D17" s="1">
        <v>6</v>
      </c>
    </row>
    <row r="18" spans="1:7" x14ac:dyDescent="0.2">
      <c r="A18" s="2"/>
      <c r="B18" s="3"/>
      <c r="C18" s="1">
        <v>2</v>
      </c>
      <c r="D18" s="1">
        <v>7</v>
      </c>
      <c r="E18" s="4">
        <v>44470</v>
      </c>
      <c r="F18" t="s">
        <v>150</v>
      </c>
      <c r="G18" t="s">
        <v>152</v>
      </c>
    </row>
    <row r="19" spans="1:7" x14ac:dyDescent="0.2">
      <c r="A19" s="2"/>
      <c r="B19" s="3"/>
      <c r="C19" s="1">
        <v>3</v>
      </c>
      <c r="D19" s="1">
        <v>8</v>
      </c>
      <c r="E19" s="4">
        <v>44470</v>
      </c>
      <c r="F19" t="s">
        <v>150</v>
      </c>
      <c r="G19" t="s">
        <v>153</v>
      </c>
    </row>
    <row r="20" spans="1:7" x14ac:dyDescent="0.2">
      <c r="A20" s="2"/>
      <c r="B20" s="3"/>
      <c r="C20" s="1">
        <v>4</v>
      </c>
      <c r="D20" s="1">
        <v>9</v>
      </c>
    </row>
    <row r="21" spans="1:7" x14ac:dyDescent="0.2">
      <c r="A21" s="2"/>
      <c r="B21" s="3"/>
      <c r="C21" s="1">
        <v>5</v>
      </c>
      <c r="D21" s="1">
        <v>10</v>
      </c>
      <c r="E21" s="4">
        <v>44470</v>
      </c>
      <c r="F21" t="s">
        <v>151</v>
      </c>
      <c r="G21" t="s">
        <v>154</v>
      </c>
    </row>
    <row r="22" spans="1:7" x14ac:dyDescent="0.2">
      <c r="A22" s="2"/>
      <c r="B22" s="1"/>
      <c r="C22" s="1"/>
      <c r="D22" s="1"/>
    </row>
    <row r="23" spans="1:7" x14ac:dyDescent="0.2">
      <c r="A23" s="2"/>
      <c r="B23" s="3" t="s">
        <v>13</v>
      </c>
      <c r="C23" s="1">
        <v>1</v>
      </c>
      <c r="D23" s="1">
        <v>1</v>
      </c>
    </row>
    <row r="24" spans="1:7" x14ac:dyDescent="0.2">
      <c r="A24" s="2"/>
      <c r="B24" s="3"/>
      <c r="C24" s="1">
        <v>2</v>
      </c>
      <c r="D24" s="1">
        <v>2</v>
      </c>
    </row>
    <row r="25" spans="1:7" x14ac:dyDescent="0.2">
      <c r="A25" s="2"/>
      <c r="B25" s="3"/>
      <c r="C25" s="1">
        <v>3</v>
      </c>
      <c r="D25" s="1">
        <v>3</v>
      </c>
    </row>
    <row r="26" spans="1:7" x14ac:dyDescent="0.2">
      <c r="A26" s="2"/>
      <c r="B26" s="3"/>
      <c r="C26" s="1">
        <v>4</v>
      </c>
      <c r="D26" s="1">
        <v>4</v>
      </c>
      <c r="E26" s="4">
        <v>44470</v>
      </c>
      <c r="F26" s="4" t="s">
        <v>150</v>
      </c>
      <c r="G26" t="s">
        <v>155</v>
      </c>
    </row>
    <row r="27" spans="1:7" x14ac:dyDescent="0.2">
      <c r="A27" s="2"/>
      <c r="B27" s="3"/>
      <c r="C27" s="1">
        <v>5</v>
      </c>
      <c r="D27" s="1">
        <v>5</v>
      </c>
      <c r="E27" s="4">
        <v>44470</v>
      </c>
      <c r="F27" t="s">
        <v>150</v>
      </c>
      <c r="G27" t="s">
        <v>156</v>
      </c>
    </row>
  </sheetData>
  <mergeCells count="6">
    <mergeCell ref="A5:A15"/>
    <mergeCell ref="B5:B9"/>
    <mergeCell ref="B11:B15"/>
    <mergeCell ref="A17:A27"/>
    <mergeCell ref="B17:B21"/>
    <mergeCell ref="B23:B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ECD2-024E-4E46-90A9-48347A29BC63}">
  <dimension ref="A1:J27"/>
  <sheetViews>
    <sheetView workbookViewId="0">
      <selection activeCell="F25" sqref="F25"/>
    </sheetView>
  </sheetViews>
  <sheetFormatPr baseColWidth="10" defaultRowHeight="16" x14ac:dyDescent="0.2"/>
  <cols>
    <col min="5" max="5" width="13.5" bestFit="1" customWidth="1"/>
    <col min="6" max="6" width="9.1640625" bestFit="1" customWidth="1"/>
    <col min="7" max="7" width="12.5" bestFit="1" customWidth="1"/>
    <col min="8" max="8" width="12.33203125" bestFit="1" customWidth="1"/>
    <col min="9" max="9" width="11.6640625" bestFit="1" customWidth="1"/>
  </cols>
  <sheetData>
    <row r="1" spans="1:10" x14ac:dyDescent="0.2">
      <c r="A1" t="s">
        <v>30</v>
      </c>
    </row>
    <row r="3" spans="1:10" x14ac:dyDescent="0.2">
      <c r="D3" s="5"/>
      <c r="E3" s="5"/>
      <c r="F3" s="5" t="s">
        <v>136</v>
      </c>
      <c r="G3" s="5"/>
      <c r="H3" s="5"/>
      <c r="I3" s="5"/>
      <c r="J3" s="5"/>
    </row>
    <row r="4" spans="1:10" x14ac:dyDescent="0.2">
      <c r="D4" t="s">
        <v>124</v>
      </c>
      <c r="E4" t="s">
        <v>42</v>
      </c>
      <c r="F4" t="s">
        <v>43</v>
      </c>
      <c r="G4" t="s">
        <v>37</v>
      </c>
      <c r="H4" t="s">
        <v>38</v>
      </c>
      <c r="I4" t="s">
        <v>36</v>
      </c>
      <c r="J4" t="s">
        <v>39</v>
      </c>
    </row>
    <row r="5" spans="1:10" x14ac:dyDescent="0.2">
      <c r="A5" s="2" t="s">
        <v>31</v>
      </c>
      <c r="B5" s="2" t="s">
        <v>12</v>
      </c>
      <c r="C5">
        <v>1</v>
      </c>
      <c r="D5" s="4">
        <v>44417</v>
      </c>
    </row>
    <row r="6" spans="1:10" x14ac:dyDescent="0.2">
      <c r="A6" s="2"/>
      <c r="B6" s="2"/>
      <c r="C6">
        <v>2</v>
      </c>
      <c r="D6" s="4">
        <v>44417</v>
      </c>
    </row>
    <row r="7" spans="1:10" x14ac:dyDescent="0.2">
      <c r="A7" s="2"/>
      <c r="B7" s="2"/>
      <c r="C7">
        <v>3</v>
      </c>
      <c r="D7" s="4">
        <v>44417</v>
      </c>
    </row>
    <row r="8" spans="1:10" x14ac:dyDescent="0.2">
      <c r="A8" s="2"/>
      <c r="B8" s="2"/>
      <c r="D8" s="4"/>
    </row>
    <row r="9" spans="1:10" x14ac:dyDescent="0.2">
      <c r="A9" s="2"/>
      <c r="B9" s="2"/>
      <c r="C9">
        <v>5</v>
      </c>
      <c r="D9" s="4">
        <v>44417</v>
      </c>
    </row>
    <row r="10" spans="1:10" x14ac:dyDescent="0.2">
      <c r="A10" s="2"/>
    </row>
    <row r="11" spans="1:10" x14ac:dyDescent="0.2">
      <c r="A11" s="2"/>
      <c r="B11" s="2" t="s">
        <v>13</v>
      </c>
      <c r="C11">
        <v>1</v>
      </c>
      <c r="D11" s="4">
        <v>44417</v>
      </c>
    </row>
    <row r="12" spans="1:10" x14ac:dyDescent="0.2">
      <c r="A12" s="2"/>
      <c r="B12" s="2"/>
      <c r="C12">
        <v>2</v>
      </c>
      <c r="D12" s="4">
        <v>44417</v>
      </c>
    </row>
    <row r="13" spans="1:10" x14ac:dyDescent="0.2">
      <c r="A13" s="2"/>
      <c r="B13" s="2"/>
      <c r="C13">
        <v>3</v>
      </c>
      <c r="D13" s="4">
        <v>44417</v>
      </c>
    </row>
    <row r="14" spans="1:10" x14ac:dyDescent="0.2">
      <c r="A14" s="2"/>
      <c r="B14" s="2"/>
      <c r="C14">
        <v>4</v>
      </c>
      <c r="D14" s="4">
        <v>44417</v>
      </c>
    </row>
    <row r="15" spans="1:10" x14ac:dyDescent="0.2">
      <c r="A15" s="2"/>
      <c r="B15" s="2"/>
      <c r="C15">
        <v>5</v>
      </c>
      <c r="D15" s="4">
        <v>44417</v>
      </c>
    </row>
    <row r="16" spans="1:10" x14ac:dyDescent="0.2">
      <c r="D16" s="4"/>
    </row>
    <row r="17" spans="1:6" x14ac:dyDescent="0.2">
      <c r="A17" s="2" t="s">
        <v>32</v>
      </c>
      <c r="B17" s="3" t="s">
        <v>12</v>
      </c>
      <c r="C17" s="1">
        <v>1</v>
      </c>
      <c r="D17" s="1"/>
    </row>
    <row r="18" spans="1:6" x14ac:dyDescent="0.2">
      <c r="A18" s="2"/>
      <c r="B18" s="3"/>
      <c r="C18" s="1">
        <v>2</v>
      </c>
      <c r="D18" s="1"/>
    </row>
    <row r="19" spans="1:6" x14ac:dyDescent="0.2">
      <c r="A19" s="2"/>
      <c r="B19" s="3"/>
      <c r="C19" s="1">
        <v>3</v>
      </c>
      <c r="D19" s="1"/>
    </row>
    <row r="20" spans="1:6" x14ac:dyDescent="0.2">
      <c r="A20" s="2"/>
      <c r="B20" s="3"/>
      <c r="C20" s="1"/>
      <c r="D20" s="1"/>
    </row>
    <row r="21" spans="1:6" x14ac:dyDescent="0.2">
      <c r="A21" s="2"/>
      <c r="B21" s="3"/>
      <c r="C21" s="1">
        <v>5</v>
      </c>
      <c r="D21" s="1"/>
    </row>
    <row r="22" spans="1:6" x14ac:dyDescent="0.2">
      <c r="A22" s="2"/>
      <c r="B22" s="1"/>
      <c r="C22" s="1"/>
      <c r="D22" s="1"/>
    </row>
    <row r="23" spans="1:6" x14ac:dyDescent="0.2">
      <c r="A23" s="2"/>
      <c r="B23" s="3" t="s">
        <v>13</v>
      </c>
      <c r="C23" s="1">
        <v>1</v>
      </c>
      <c r="D23" s="1"/>
    </row>
    <row r="24" spans="1:6" x14ac:dyDescent="0.2">
      <c r="A24" s="2"/>
      <c r="B24" s="3"/>
      <c r="C24" s="1">
        <v>2</v>
      </c>
      <c r="D24" s="1"/>
    </row>
    <row r="25" spans="1:6" x14ac:dyDescent="0.2">
      <c r="A25" s="2"/>
      <c r="B25" s="3"/>
      <c r="C25" s="1">
        <v>3</v>
      </c>
      <c r="D25" s="6">
        <v>44432</v>
      </c>
      <c r="E25" s="4">
        <v>44434</v>
      </c>
      <c r="F25">
        <v>170</v>
      </c>
    </row>
    <row r="26" spans="1:6" x14ac:dyDescent="0.2">
      <c r="A26" s="2"/>
      <c r="B26" s="3"/>
      <c r="C26" s="1">
        <v>4</v>
      </c>
      <c r="D26" s="1"/>
    </row>
    <row r="27" spans="1:6" x14ac:dyDescent="0.2">
      <c r="A27" s="2"/>
      <c r="B27" s="3"/>
      <c r="C27" s="1">
        <v>5</v>
      </c>
      <c r="D27" s="1"/>
    </row>
  </sheetData>
  <mergeCells count="6">
    <mergeCell ref="B5:B9"/>
    <mergeCell ref="B11:B15"/>
    <mergeCell ref="B17:B21"/>
    <mergeCell ref="B23:B27"/>
    <mergeCell ref="A5:A15"/>
    <mergeCell ref="A17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Injection, 2</vt:lpstr>
      <vt:lpstr>Injection</vt:lpstr>
      <vt:lpstr>Parasitemia</vt:lpstr>
      <vt:lpstr>Parasitemia_old</vt:lpstr>
      <vt:lpstr>D6 Blood Collection</vt:lpstr>
      <vt:lpstr>D14 Blood Collection</vt:lpstr>
      <vt:lpstr>Initiating Parasite</vt:lpstr>
      <vt:lpstr>Sample Processing RNA</vt:lpstr>
      <vt:lpstr>Sample Processing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2021-05-11T22:59:04Z</dcterms:created>
  <dcterms:modified xsi:type="dcterms:W3CDTF">2021-10-14T14:36:30Z</dcterms:modified>
</cp:coreProperties>
</file>