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lyn.smith/labNotebook/smith_2024/data_reviews/additional_mosaic_clones/mouse_expt/"/>
    </mc:Choice>
  </mc:AlternateContent>
  <xr:revisionPtr revIDLastSave="0" documentId="13_ncr:1_{199526A3-ACA1-3A40-BBD8-71BCC6E236DA}" xr6:coauthVersionLast="47" xr6:coauthVersionMax="47" xr10:uidLastSave="{00000000-0000-0000-0000-000000000000}"/>
  <bookViews>
    <workbookView xWindow="1760" yWindow="1500" windowWidth="27640" windowHeight="16740" xr2:uid="{602487D1-813A-734D-ACD6-42B663B78E7F}"/>
  </bookViews>
  <sheets>
    <sheet name="VSG8_mumT_parasitemi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E19" i="1"/>
  <c r="D22" i="1"/>
  <c r="E22" i="1" s="1"/>
  <c r="D21" i="1"/>
  <c r="E21" i="1" s="1"/>
  <c r="D20" i="1"/>
  <c r="E20" i="1" s="1"/>
  <c r="D18" i="1"/>
  <c r="E18" i="1" s="1"/>
  <c r="D17" i="1"/>
  <c r="E17" i="1" s="1"/>
  <c r="D16" i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E5" i="1"/>
  <c r="E2" i="1"/>
  <c r="E3" i="1"/>
  <c r="D6" i="1"/>
  <c r="E6" i="1" s="1"/>
  <c r="D4" i="1"/>
  <c r="E4" i="1" s="1"/>
</calcChain>
</file>

<file path=xl/sharedStrings.xml><?xml version="1.0" encoding="utf-8"?>
<sst xmlns="http://schemas.openxmlformats.org/spreadsheetml/2006/main" count="43" uniqueCount="12">
  <si>
    <t>M1</t>
  </si>
  <si>
    <t>M2</t>
  </si>
  <si>
    <t>M3</t>
  </si>
  <si>
    <t>M4</t>
  </si>
  <si>
    <t>M5</t>
  </si>
  <si>
    <t>infected first batch on 5/15/2025</t>
  </si>
  <si>
    <t>mouse</t>
  </si>
  <si>
    <t>date</t>
  </si>
  <si>
    <t>average_count</t>
  </si>
  <si>
    <t>total_parasites</t>
  </si>
  <si>
    <t>Day</t>
  </si>
  <si>
    <t>reinfect M2 on 5/23/2025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</si>
</sst>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3D8E-0808-6345-B97E-862FA762C83F}">
  <dimension ref="A1:E37"/>
  <sheetViews>
    <sheetView tabSelected="1" workbookViewId="0">
      <selection activeCell="F15" sqref="F15"/>
    </sheetView>
  </sheetViews>
  <sheetFormatPr baseColWidth="10" defaultRowHeight="16" x14ac:dyDescent="0.2"/>
  <cols>
    <col min="3" max="3" width="10.83203125" style="2"/>
  </cols>
  <sheetData>
    <row r="1" spans="1:5" x14ac:dyDescent="0.2">
      <c r="A1" t="s">
        <v>6</v>
      </c>
      <c r="B1" t="s">
        <v>7</v>
      </c>
      <c r="C1" s="2" t="s">
        <v>10</v>
      </c>
      <c r="D1" t="s">
        <v>8</v>
      </c>
      <c r="E1" t="s">
        <v>9</v>
      </c>
    </row>
    <row r="2" spans="1:5" x14ac:dyDescent="0.2">
      <c r="A2" t="s">
        <v>0</v>
      </c>
      <c r="B2" s="1">
        <v>45796</v>
      </c>
      <c r="C2" s="2">
        <v>4</v>
      </c>
      <c r="D2">
        <v>0</v>
      </c>
      <c r="E2">
        <f t="shared" ref="E2:E3" si="0">D2*10000*200</f>
        <v>0</v>
      </c>
    </row>
    <row r="3" spans="1:5" x14ac:dyDescent="0.2">
      <c r="A3" t="s">
        <v>2</v>
      </c>
      <c r="B3" s="1">
        <v>45796</v>
      </c>
      <c r="C3" s="2">
        <v>4</v>
      </c>
      <c r="D3">
        <v>0</v>
      </c>
      <c r="E3">
        <f t="shared" si="0"/>
        <v>0</v>
      </c>
    </row>
    <row r="4" spans="1:5" x14ac:dyDescent="0.2">
      <c r="A4" t="s">
        <v>3</v>
      </c>
      <c r="B4" s="1">
        <v>45796</v>
      </c>
      <c r="C4" s="2">
        <v>4</v>
      </c>
      <c r="D4">
        <f>AVERAGE(1,0,0,0)</f>
        <v>0.25</v>
      </c>
      <c r="E4">
        <f>D4*10000*200</f>
        <v>500000</v>
      </c>
    </row>
    <row r="5" spans="1:5" x14ac:dyDescent="0.2">
      <c r="A5" t="s">
        <v>4</v>
      </c>
      <c r="B5" s="1">
        <v>45796</v>
      </c>
      <c r="C5" s="2">
        <v>4</v>
      </c>
      <c r="D5">
        <v>0</v>
      </c>
      <c r="E5">
        <f>D5*10000*200</f>
        <v>0</v>
      </c>
    </row>
    <row r="6" spans="1:5" x14ac:dyDescent="0.2">
      <c r="A6" t="s">
        <v>0</v>
      </c>
      <c r="B6" s="1">
        <v>45798</v>
      </c>
      <c r="C6" s="2">
        <v>6</v>
      </c>
      <c r="D6">
        <f>AVERAGE(4,5,7)</f>
        <v>5.333333333333333</v>
      </c>
      <c r="E6">
        <f>D6*5*10000*200</f>
        <v>53333333.333333328</v>
      </c>
    </row>
    <row r="7" spans="1:5" x14ac:dyDescent="0.2">
      <c r="A7" t="s">
        <v>2</v>
      </c>
      <c r="B7" s="1">
        <v>45798</v>
      </c>
      <c r="C7" s="2">
        <v>6</v>
      </c>
      <c r="D7">
        <f>AVERAGE(8,10,10)</f>
        <v>9.3333333333333339</v>
      </c>
      <c r="E7">
        <f>D7*10000*200</f>
        <v>18666666.666666668</v>
      </c>
    </row>
    <row r="8" spans="1:5" x14ac:dyDescent="0.2">
      <c r="A8" t="s">
        <v>3</v>
      </c>
      <c r="B8" s="1">
        <v>45798</v>
      </c>
      <c r="C8" s="2">
        <v>6</v>
      </c>
      <c r="D8">
        <f>AVERAGE(1, 15, 3)</f>
        <v>6.333333333333333</v>
      </c>
      <c r="E8">
        <f>D8*10000*200</f>
        <v>12666666.666666666</v>
      </c>
    </row>
    <row r="9" spans="1:5" x14ac:dyDescent="0.2">
      <c r="A9" t="s">
        <v>4</v>
      </c>
      <c r="B9" s="1">
        <v>45798</v>
      </c>
      <c r="C9" s="2">
        <v>6</v>
      </c>
      <c r="D9">
        <f>AVERAGE(1,4,2)</f>
        <v>2.3333333333333335</v>
      </c>
      <c r="E9">
        <f>D9*10000*200</f>
        <v>4666666.666666667</v>
      </c>
    </row>
    <row r="10" spans="1:5" x14ac:dyDescent="0.2">
      <c r="A10" t="s">
        <v>0</v>
      </c>
      <c r="B10" s="1">
        <v>45800</v>
      </c>
      <c r="C10" s="2">
        <v>8</v>
      </c>
      <c r="D10">
        <f>AVERAGE(16,23,22)</f>
        <v>20.333333333333332</v>
      </c>
      <c r="E10">
        <f>D10*5*10000*200</f>
        <v>203333333.33333331</v>
      </c>
    </row>
    <row r="11" spans="1:5" x14ac:dyDescent="0.2">
      <c r="A11" t="s">
        <v>2</v>
      </c>
      <c r="B11" s="1">
        <v>45800</v>
      </c>
      <c r="C11" s="2">
        <v>8</v>
      </c>
      <c r="D11">
        <f>AVERAGE(17,25,20)</f>
        <v>20.666666666666668</v>
      </c>
      <c r="E11">
        <f>D11*5*10000*200</f>
        <v>206666666.66666669</v>
      </c>
    </row>
    <row r="12" spans="1:5" x14ac:dyDescent="0.2">
      <c r="A12" t="s">
        <v>3</v>
      </c>
      <c r="B12" s="1">
        <v>45800</v>
      </c>
      <c r="C12" s="2">
        <v>8</v>
      </c>
      <c r="D12">
        <f>AVERAGE(8,8,9)</f>
        <v>8.3333333333333339</v>
      </c>
      <c r="E12">
        <f>D12*5*10000*200</f>
        <v>83333333.333333343</v>
      </c>
    </row>
    <row r="13" spans="1:5" x14ac:dyDescent="0.2">
      <c r="A13" t="s">
        <v>4</v>
      </c>
      <c r="B13" s="1">
        <v>45800</v>
      </c>
      <c r="C13" s="2">
        <v>8</v>
      </c>
      <c r="D13">
        <f>AVERAGE(22,19,21)</f>
        <v>20.666666666666668</v>
      </c>
      <c r="E13">
        <f>D13*5*10000*200</f>
        <v>206666666.66666669</v>
      </c>
    </row>
    <row r="14" spans="1:5" x14ac:dyDescent="0.2">
      <c r="A14" t="s">
        <v>0</v>
      </c>
      <c r="B14" s="1">
        <v>45802</v>
      </c>
      <c r="C14" s="2">
        <v>10</v>
      </c>
      <c r="D14">
        <f>AVERAGE(10,9,16)</f>
        <v>11.666666666666666</v>
      </c>
      <c r="E14">
        <f t="shared" ref="E14:E37" si="1">D14*5*10000*200</f>
        <v>116666666.66666666</v>
      </c>
    </row>
    <row r="15" spans="1:5" x14ac:dyDescent="0.2">
      <c r="A15" t="s">
        <v>2</v>
      </c>
      <c r="B15" s="1">
        <v>45802</v>
      </c>
      <c r="C15" s="2">
        <v>10</v>
      </c>
      <c r="D15">
        <f>AVERAGE(10,5,12)</f>
        <v>9</v>
      </c>
      <c r="E15">
        <f t="shared" si="1"/>
        <v>90000000</v>
      </c>
    </row>
    <row r="16" spans="1:5" x14ac:dyDescent="0.2">
      <c r="A16" t="s">
        <v>3</v>
      </c>
      <c r="B16" s="1">
        <v>45802</v>
      </c>
      <c r="C16" s="2">
        <v>10</v>
      </c>
      <c r="D16">
        <f>AVERAGE(1,3,6)</f>
        <v>3.3333333333333335</v>
      </c>
      <c r="E16">
        <f t="shared" si="1"/>
        <v>33333333.333333336</v>
      </c>
    </row>
    <row r="17" spans="1:5" x14ac:dyDescent="0.2">
      <c r="A17" t="s">
        <v>4</v>
      </c>
      <c r="B17" s="1">
        <v>45802</v>
      </c>
      <c r="C17" s="2">
        <v>10</v>
      </c>
      <c r="D17">
        <f>AVERAGE(16,19,17)</f>
        <v>17.333333333333332</v>
      </c>
      <c r="E17">
        <f t="shared" si="1"/>
        <v>173333333.33333331</v>
      </c>
    </row>
    <row r="18" spans="1:5" x14ac:dyDescent="0.2">
      <c r="A18" t="s">
        <v>0</v>
      </c>
      <c r="B18" s="1">
        <v>45804</v>
      </c>
      <c r="C18" s="2">
        <v>12</v>
      </c>
      <c r="D18">
        <f>AVERAGE(15, 19, 29)</f>
        <v>21</v>
      </c>
      <c r="E18">
        <f t="shared" si="1"/>
        <v>210000000</v>
      </c>
    </row>
    <row r="19" spans="1:5" x14ac:dyDescent="0.2">
      <c r="A19" t="s">
        <v>1</v>
      </c>
      <c r="B19" s="1">
        <v>45804</v>
      </c>
      <c r="C19" s="2">
        <v>4</v>
      </c>
      <c r="D19">
        <v>0</v>
      </c>
      <c r="E19">
        <f t="shared" si="1"/>
        <v>0</v>
      </c>
    </row>
    <row r="20" spans="1:5" x14ac:dyDescent="0.2">
      <c r="A20" t="s">
        <v>2</v>
      </c>
      <c r="B20" s="1">
        <v>45804</v>
      </c>
      <c r="C20" s="2">
        <v>12</v>
      </c>
      <c r="D20">
        <f>AVERAGE(13,18,21)</f>
        <v>17.333333333333332</v>
      </c>
      <c r="E20">
        <f t="shared" si="1"/>
        <v>173333333.33333331</v>
      </c>
    </row>
    <row r="21" spans="1:5" x14ac:dyDescent="0.2">
      <c r="A21" t="s">
        <v>3</v>
      </c>
      <c r="B21" s="1">
        <v>45804</v>
      </c>
      <c r="C21" s="2">
        <v>12</v>
      </c>
      <c r="D21">
        <f>AVERAGE(17,7,19)</f>
        <v>14.333333333333334</v>
      </c>
      <c r="E21">
        <f t="shared" si="1"/>
        <v>143333333.33333334</v>
      </c>
    </row>
    <row r="22" spans="1:5" x14ac:dyDescent="0.2">
      <c r="A22" t="s">
        <v>4</v>
      </c>
      <c r="B22" s="1">
        <v>45804</v>
      </c>
      <c r="C22" s="2">
        <v>12</v>
      </c>
      <c r="D22">
        <f>AVERAGE(15,19,26)</f>
        <v>20</v>
      </c>
      <c r="E22">
        <f t="shared" si="1"/>
        <v>200000000</v>
      </c>
    </row>
    <row r="23" spans="1:5" x14ac:dyDescent="0.2">
      <c r="A23" t="s">
        <v>3</v>
      </c>
      <c r="B23" s="1">
        <v>45805</v>
      </c>
      <c r="C23" s="2">
        <v>13</v>
      </c>
      <c r="D23">
        <f>AVERAGE(18,16,16)</f>
        <v>16.666666666666668</v>
      </c>
      <c r="E23">
        <f t="shared" si="1"/>
        <v>166666666.66666669</v>
      </c>
    </row>
    <row r="24" spans="1:5" x14ac:dyDescent="0.2">
      <c r="A24" t="s">
        <v>0</v>
      </c>
      <c r="B24" s="1">
        <v>45806</v>
      </c>
      <c r="C24" s="2">
        <v>14</v>
      </c>
      <c r="D24">
        <f>AVERAGE(31,30,33)</f>
        <v>31.333333333333332</v>
      </c>
      <c r="E24">
        <f t="shared" si="1"/>
        <v>313333333.33333331</v>
      </c>
    </row>
    <row r="25" spans="1:5" x14ac:dyDescent="0.2">
      <c r="A25" t="s">
        <v>1</v>
      </c>
      <c r="B25" s="1">
        <v>45806</v>
      </c>
      <c r="C25" s="2">
        <v>6</v>
      </c>
      <c r="D25">
        <f>AVERAGE(1,3,1)</f>
        <v>1.6666666666666667</v>
      </c>
      <c r="E25">
        <f>D25*10000*200</f>
        <v>3333333.3333333335</v>
      </c>
    </row>
    <row r="26" spans="1:5" x14ac:dyDescent="0.2">
      <c r="A26" t="s">
        <v>3</v>
      </c>
      <c r="B26" s="1">
        <v>45806</v>
      </c>
      <c r="C26" s="2">
        <v>14</v>
      </c>
      <c r="D26">
        <f>AVERAGE(21,37,18)</f>
        <v>25.333333333333332</v>
      </c>
      <c r="E26">
        <f t="shared" si="1"/>
        <v>253333333.33333331</v>
      </c>
    </row>
    <row r="27" spans="1:5" x14ac:dyDescent="0.2">
      <c r="A27" t="s">
        <v>4</v>
      </c>
      <c r="B27" s="1">
        <v>45806</v>
      </c>
      <c r="C27" s="2">
        <v>14</v>
      </c>
      <c r="D27">
        <f>AVERAGE(18,27,32)</f>
        <v>25.666666666666668</v>
      </c>
      <c r="E27">
        <f t="shared" si="1"/>
        <v>256666666.66666669</v>
      </c>
    </row>
    <row r="28" spans="1:5" x14ac:dyDescent="0.2">
      <c r="A28" t="s">
        <v>0</v>
      </c>
      <c r="B28" s="1">
        <v>45807</v>
      </c>
      <c r="C28" s="2">
        <v>15</v>
      </c>
      <c r="D28">
        <f>AVERAGE(10,15,21)</f>
        <v>15.333333333333334</v>
      </c>
      <c r="E28">
        <f t="shared" si="1"/>
        <v>153333333.33333334</v>
      </c>
    </row>
    <row r="29" spans="1:5" x14ac:dyDescent="0.2">
      <c r="A29" t="s">
        <v>2</v>
      </c>
      <c r="B29" s="1">
        <v>45807</v>
      </c>
      <c r="C29" s="2">
        <v>15</v>
      </c>
      <c r="D29">
        <f>AVERAGE(26,37,45)</f>
        <v>36</v>
      </c>
      <c r="E29">
        <f t="shared" si="1"/>
        <v>360000000</v>
      </c>
    </row>
    <row r="30" spans="1:5" x14ac:dyDescent="0.2">
      <c r="A30" t="s">
        <v>4</v>
      </c>
      <c r="B30" s="1">
        <v>45807</v>
      </c>
      <c r="C30" s="2">
        <v>15</v>
      </c>
      <c r="D30">
        <f>AVERAGE(14,19,23)</f>
        <v>18.666666666666668</v>
      </c>
      <c r="E30">
        <f t="shared" si="1"/>
        <v>186666666.66666669</v>
      </c>
    </row>
    <row r="31" spans="1:5" x14ac:dyDescent="0.2">
      <c r="A31" t="s">
        <v>0</v>
      </c>
      <c r="B31" s="1">
        <v>45808</v>
      </c>
      <c r="C31" s="2">
        <v>16</v>
      </c>
      <c r="D31">
        <f>AVERAGE(26, 24, 29)</f>
        <v>26.333333333333332</v>
      </c>
      <c r="E31">
        <f t="shared" si="1"/>
        <v>263333333.33333331</v>
      </c>
    </row>
    <row r="32" spans="1:5" x14ac:dyDescent="0.2">
      <c r="A32" t="s">
        <v>1</v>
      </c>
      <c r="B32" s="1">
        <v>45808</v>
      </c>
      <c r="C32" s="2">
        <v>8</v>
      </c>
      <c r="D32">
        <f>AVERAGE(2,3,7)</f>
        <v>4</v>
      </c>
      <c r="E32">
        <f t="shared" si="1"/>
        <v>40000000</v>
      </c>
    </row>
    <row r="33" spans="1:5" x14ac:dyDescent="0.2">
      <c r="A33" t="s">
        <v>4</v>
      </c>
      <c r="B33" s="1">
        <v>45808</v>
      </c>
      <c r="C33" s="2">
        <v>16</v>
      </c>
      <c r="D33">
        <f>AVERAGE(14,6,14)</f>
        <v>11.333333333333334</v>
      </c>
      <c r="E33">
        <f t="shared" si="1"/>
        <v>113333333.33333334</v>
      </c>
    </row>
    <row r="34" spans="1:5" x14ac:dyDescent="0.2">
      <c r="A34" t="s">
        <v>1</v>
      </c>
      <c r="B34" s="1">
        <v>45810</v>
      </c>
      <c r="C34" s="2">
        <v>10</v>
      </c>
      <c r="D34">
        <f>AVERAGE(5,2,2)</f>
        <v>3</v>
      </c>
      <c r="E34">
        <f t="shared" si="1"/>
        <v>30000000</v>
      </c>
    </row>
    <row r="35" spans="1:5" x14ac:dyDescent="0.2">
      <c r="A35" t="s">
        <v>4</v>
      </c>
      <c r="B35" s="1">
        <v>45810</v>
      </c>
      <c r="C35" s="2">
        <v>18</v>
      </c>
      <c r="D35">
        <f>AVERAGE(40,47,51)</f>
        <v>46</v>
      </c>
      <c r="E35">
        <f t="shared" si="1"/>
        <v>460000000</v>
      </c>
    </row>
    <row r="36" spans="1:5" x14ac:dyDescent="0.2">
      <c r="A36" t="s">
        <v>1</v>
      </c>
      <c r="B36" s="1">
        <v>45812</v>
      </c>
      <c r="C36" s="2">
        <v>12</v>
      </c>
      <c r="D36">
        <f>AVERAGE(14,18,12)</f>
        <v>14.666666666666666</v>
      </c>
      <c r="E36">
        <f t="shared" si="1"/>
        <v>146666666.66666666</v>
      </c>
    </row>
    <row r="37" spans="1:5" x14ac:dyDescent="0.2">
      <c r="A37" t="s">
        <v>1</v>
      </c>
      <c r="B37" s="1">
        <v>45813</v>
      </c>
      <c r="C37" s="2">
        <v>13</v>
      </c>
      <c r="D37">
        <f>AVERAGE(27,19,30)</f>
        <v>25.333333333333332</v>
      </c>
      <c r="E37">
        <f t="shared" si="1"/>
        <v>253333333.33333331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4287-7C2B-5B4A-A890-05FE1AAE1DCE}">
  <dimension ref="A1:A2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VSG8_mumT_parasitemia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Jaclyn</dc:creator>
  <cp:lastModifiedBy>Smith, Jaclyn</cp:lastModifiedBy>
  <dcterms:created xsi:type="dcterms:W3CDTF">2025-09-06T15:50:29Z</dcterms:created>
  <dcterms:modified xsi:type="dcterms:W3CDTF">2025-09-06T17:10:21Z</dcterms:modified>
</cp:coreProperties>
</file>