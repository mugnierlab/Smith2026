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lyn.smith/labNotebook/smith_2024/data_reviews/additional_mosaic_clones/"/>
    </mc:Choice>
  </mc:AlternateContent>
  <xr:revisionPtr revIDLastSave="0" documentId="8_{05786CE9-E1F0-F247-AB8F-0BD2B67B9C41}" xr6:coauthVersionLast="47" xr6:coauthVersionMax="47" xr10:uidLastSave="{00000000-0000-0000-0000-000000000000}"/>
  <bookViews>
    <workbookView xWindow="2800" yWindow="800" windowWidth="13260" windowHeight="16740" xr2:uid="{5A276905-E012-2A43-8AB9-C572DE3C10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C18" i="1"/>
  <c r="D18" i="1"/>
  <c r="D17" i="1"/>
  <c r="C17" i="1"/>
  <c r="D16" i="1"/>
  <c r="D14" i="1"/>
  <c r="D15" i="1"/>
  <c r="D12" i="1"/>
  <c r="D13" i="1"/>
  <c r="D10" i="1"/>
  <c r="D11" i="1"/>
  <c r="D9" i="1"/>
  <c r="D8" i="1"/>
  <c r="C9" i="1"/>
  <c r="C8" i="1"/>
  <c r="C7" i="1"/>
  <c r="D7" i="1"/>
  <c r="C6" i="1"/>
  <c r="D6" i="1"/>
  <c r="D3" i="1"/>
  <c r="D4" i="1"/>
  <c r="D5" i="1"/>
  <c r="D2" i="1"/>
  <c r="C5" i="1"/>
</calcChain>
</file>

<file path=xl/sharedStrings.xml><?xml version="1.0" encoding="utf-8"?>
<sst xmlns="http://schemas.openxmlformats.org/spreadsheetml/2006/main" count="22" uniqueCount="6">
  <si>
    <t>mouse</t>
  </si>
  <si>
    <t>day</t>
  </si>
  <si>
    <t>count</t>
  </si>
  <si>
    <t>parasitemia</t>
  </si>
  <si>
    <t>M1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</si>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</sst>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7252-8B47-9A48-9AB1-0A195269AEBE}">
  <dimension ref="A1:D19"/>
  <sheetViews>
    <sheetView tabSelected="1" workbookViewId="0">
      <selection activeCell="E18" sqref="E1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</v>
      </c>
      <c r="C2">
        <v>0</v>
      </c>
      <c r="D2">
        <f>C2*5*10000*200</f>
        <v>0</v>
      </c>
    </row>
    <row r="3" spans="1:4" x14ac:dyDescent="0.2">
      <c r="A3" t="s">
        <v>5</v>
      </c>
      <c r="B3">
        <v>3</v>
      </c>
      <c r="C3">
        <v>0</v>
      </c>
      <c r="D3">
        <f t="shared" ref="D3:D9" si="0">C3*5*10000*200</f>
        <v>0</v>
      </c>
    </row>
    <row r="4" spans="1:4" x14ac:dyDescent="0.2">
      <c r="A4" t="s">
        <v>4</v>
      </c>
      <c r="B4">
        <v>5</v>
      </c>
      <c r="C4">
        <v>0</v>
      </c>
      <c r="D4">
        <f t="shared" si="0"/>
        <v>0</v>
      </c>
    </row>
    <row r="5" spans="1:4" x14ac:dyDescent="0.2">
      <c r="A5" t="s">
        <v>5</v>
      </c>
      <c r="B5">
        <v>5</v>
      </c>
      <c r="C5">
        <f>AVERAGE(1,1,1)</f>
        <v>1</v>
      </c>
      <c r="D5">
        <f t="shared" si="0"/>
        <v>10000000</v>
      </c>
    </row>
    <row r="6" spans="1:4" x14ac:dyDescent="0.2">
      <c r="A6" t="s">
        <v>4</v>
      </c>
      <c r="B6">
        <v>6</v>
      </c>
      <c r="C6">
        <f>AVERAGE(5,8,7)</f>
        <v>6.666666666666667</v>
      </c>
      <c r="D6">
        <f t="shared" si="0"/>
        <v>66666666.666666672</v>
      </c>
    </row>
    <row r="7" spans="1:4" x14ac:dyDescent="0.2">
      <c r="A7" t="s">
        <v>5</v>
      </c>
      <c r="B7">
        <v>6</v>
      </c>
      <c r="C7">
        <f>AVERAGE(7,9,7)</f>
        <v>7.666666666666667</v>
      </c>
      <c r="D7">
        <f t="shared" si="0"/>
        <v>76666666.666666672</v>
      </c>
    </row>
    <row r="8" spans="1:4" x14ac:dyDescent="0.2">
      <c r="A8" t="s">
        <v>4</v>
      </c>
      <c r="B8">
        <v>8</v>
      </c>
      <c r="C8">
        <f>AVERAGE(16,20,19)</f>
        <v>18.333333333333332</v>
      </c>
      <c r="D8">
        <f>C8*10000*200</f>
        <v>36666666.666666664</v>
      </c>
    </row>
    <row r="9" spans="1:4" x14ac:dyDescent="0.2">
      <c r="A9" t="s">
        <v>5</v>
      </c>
      <c r="B9">
        <v>8</v>
      </c>
      <c r="C9">
        <f>AVERAGE(27,24,28)</f>
        <v>26.333333333333332</v>
      </c>
      <c r="D9">
        <f>C9*10000*200</f>
        <v>52666666.666666664</v>
      </c>
    </row>
    <row r="10" spans="1:4" x14ac:dyDescent="0.2">
      <c r="A10" t="s">
        <v>4</v>
      </c>
      <c r="B10">
        <v>10</v>
      </c>
      <c r="C10">
        <v>0</v>
      </c>
      <c r="D10">
        <f t="shared" ref="D10:D17" si="1">C10*10000*200</f>
        <v>0</v>
      </c>
    </row>
    <row r="11" spans="1:4" x14ac:dyDescent="0.2">
      <c r="A11" t="s">
        <v>5</v>
      </c>
      <c r="B11">
        <v>10</v>
      </c>
      <c r="C11">
        <v>0</v>
      </c>
      <c r="D11">
        <f t="shared" si="1"/>
        <v>0</v>
      </c>
    </row>
    <row r="12" spans="1:4" x14ac:dyDescent="0.2">
      <c r="A12" t="s">
        <v>4</v>
      </c>
      <c r="B12">
        <v>12</v>
      </c>
      <c r="C12">
        <v>0</v>
      </c>
      <c r="D12">
        <f t="shared" si="1"/>
        <v>0</v>
      </c>
    </row>
    <row r="13" spans="1:4" x14ac:dyDescent="0.2">
      <c r="A13" t="s">
        <v>5</v>
      </c>
      <c r="B13">
        <v>12</v>
      </c>
      <c r="C13">
        <v>0</v>
      </c>
      <c r="D13">
        <f t="shared" si="1"/>
        <v>0</v>
      </c>
    </row>
    <row r="14" spans="1:4" x14ac:dyDescent="0.2">
      <c r="A14" t="s">
        <v>4</v>
      </c>
      <c r="B14">
        <v>14</v>
      </c>
      <c r="C14">
        <v>0</v>
      </c>
      <c r="D14">
        <f t="shared" si="1"/>
        <v>0</v>
      </c>
    </row>
    <row r="15" spans="1:4" x14ac:dyDescent="0.2">
      <c r="A15" t="s">
        <v>5</v>
      </c>
      <c r="B15">
        <v>14</v>
      </c>
      <c r="C15">
        <v>0</v>
      </c>
      <c r="D15">
        <f t="shared" si="1"/>
        <v>0</v>
      </c>
    </row>
    <row r="16" spans="1:4" x14ac:dyDescent="0.2">
      <c r="A16" t="s">
        <v>4</v>
      </c>
      <c r="B16">
        <v>15</v>
      </c>
      <c r="C16">
        <v>0</v>
      </c>
      <c r="D16">
        <f t="shared" si="1"/>
        <v>0</v>
      </c>
    </row>
    <row r="17" spans="1:4" x14ac:dyDescent="0.2">
      <c r="A17" t="s">
        <v>5</v>
      </c>
      <c r="B17">
        <v>15</v>
      </c>
      <c r="C17">
        <f>AVERAGE(1,0,0)</f>
        <v>0.33333333333333331</v>
      </c>
      <c r="D17">
        <f>C17*5*10000*200</f>
        <v>3333333.333333333</v>
      </c>
    </row>
    <row r="18" spans="1:4" x14ac:dyDescent="0.2">
      <c r="A18" t="s">
        <v>4</v>
      </c>
      <c r="B18">
        <v>16</v>
      </c>
      <c r="C18">
        <f>AVERAGE(0,1,0)</f>
        <v>0.33333333333333331</v>
      </c>
      <c r="D18">
        <f>C18*5*10000*200</f>
        <v>3333333.333333333</v>
      </c>
    </row>
    <row r="19" spans="1:4" x14ac:dyDescent="0.2">
      <c r="A19" t="s">
        <v>5</v>
      </c>
      <c r="B19">
        <v>16</v>
      </c>
      <c r="C19">
        <f>AVERAGE(0,1,1)</f>
        <v>0.66666666666666663</v>
      </c>
      <c r="D19">
        <f>C19*5*10000*200</f>
        <v>6666666.666666666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Jaclyn</dc:creator>
  <cp:lastModifiedBy>Smith, Jaclyn</cp:lastModifiedBy>
  <dcterms:created xsi:type="dcterms:W3CDTF">2025-09-06T17:25:22Z</dcterms:created>
  <dcterms:modified xsi:type="dcterms:W3CDTF">2025-09-06T17:43:08Z</dcterms:modified>
</cp:coreProperties>
</file>